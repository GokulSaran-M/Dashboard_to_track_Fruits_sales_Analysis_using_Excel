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TICS\EXCEL\PROJECT\DashBoard to track fruits sales Analysis\"/>
    </mc:Choice>
  </mc:AlternateContent>
  <xr:revisionPtr revIDLastSave="0" documentId="13_ncr:1_{E3247D91-2DF6-43B8-8289-BC94CD799F3F}" xr6:coauthVersionLast="47" xr6:coauthVersionMax="47" xr10:uidLastSave="{00000000-0000-0000-0000-000000000000}"/>
  <bookViews>
    <workbookView xWindow="-108" yWindow="-108" windowWidth="23256" windowHeight="13176" activeTab="2" xr2:uid="{00000000-000D-0000-FFFF-FFFF00000000}"/>
  </bookViews>
  <sheets>
    <sheet name="Master Data" sheetId="1" r:id="rId1"/>
    <sheet name="Data Analyse" sheetId="3" r:id="rId2"/>
    <sheet name="Data Visual" sheetId="5" r:id="rId3"/>
  </sheets>
  <definedNames>
    <definedName name="Slicer_FRUIT_NAME">#N/A</definedName>
    <definedName name="Slicer_SALES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2" i="5" l="1"/>
  <c r="K8" i="5"/>
  <c r="T8" i="5"/>
  <c r="D8" i="5"/>
</calcChain>
</file>

<file path=xl/sharedStrings.xml><?xml version="1.0" encoding="utf-8"?>
<sst xmlns="http://schemas.openxmlformats.org/spreadsheetml/2006/main" count="116" uniqueCount="26">
  <si>
    <t>SALES_DATE</t>
  </si>
  <si>
    <t>FRUIT_ID</t>
  </si>
  <si>
    <t>FRUIT_NAME</t>
  </si>
  <si>
    <t>TOTAL_CUSTOMERS</t>
  </si>
  <si>
    <t>TOTAL_QUANTITY_SOLD</t>
  </si>
  <si>
    <t>TOTAL_REVENUE</t>
  </si>
  <si>
    <t>APPLE</t>
  </si>
  <si>
    <t>ORANGE</t>
  </si>
  <si>
    <t>GRAPES</t>
  </si>
  <si>
    <t>GAUVA</t>
  </si>
  <si>
    <t>BANANA</t>
  </si>
  <si>
    <t>PINE APPLE</t>
  </si>
  <si>
    <t>POMEGRANATE</t>
  </si>
  <si>
    <t>PAPAYA</t>
  </si>
  <si>
    <t>WATER MELON</t>
  </si>
  <si>
    <t>AMLA</t>
  </si>
  <si>
    <t>Row Labels</t>
  </si>
  <si>
    <t>Grand Total</t>
  </si>
  <si>
    <t>Sum of TOTAL_REVENUE</t>
  </si>
  <si>
    <t>Sum of TOTAL_QUANTITY_SOLD</t>
  </si>
  <si>
    <t>Sum of TOTAL_CUSTOMERS</t>
  </si>
  <si>
    <t>DASHBOARD TO TRACK FRUITS SALES ANALYSIS</t>
  </si>
  <si>
    <t>TOTAL REVENUE GENERATED</t>
  </si>
  <si>
    <t>TOTAL QUANTITY SOLD</t>
  </si>
  <si>
    <t>TOTAL CUSTOMERS</t>
  </si>
  <si>
    <t>TOP REVENUE GENERATING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</si>
</sst>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dd/yyyy"/>
    <numFmt numFmtId="165" formatCode="_ [$₹-4009]\ * #,##0.00_ ;_ [$₹-4009]\ * \-#,##0.00_ ;_ [$₹-4009]\ * &quot;-&quot;??_ ;_ @_ "/>
  </numFmts>
  <fonts count="8" x14ac:knownFonts="1">
    <font>
      <sz val="11"/>
      <color rgb="FF000000"/>
      <name val="Calibri"/>
    </font>
    <font>
      <b/>
      <sz val="10"/>
      <color rgb="FF000000"/>
      <name val="Helvetica"/>
    </font>
    <font>
      <sz val="10"/>
      <color rgb="FF000000"/>
      <name val="Helvetica"/>
    </font>
    <font>
      <b/>
      <sz val="24"/>
      <color rgb="FF000000"/>
      <name val="Times New Roman"/>
      <family val="1"/>
    </font>
    <font>
      <b/>
      <sz val="26"/>
      <color rgb="FF000000"/>
      <name val="Times New Roman"/>
      <family val="1"/>
    </font>
    <font>
      <b/>
      <sz val="48"/>
      <color rgb="FF000000"/>
      <name val="Times New Roman"/>
      <family val="1"/>
    </font>
    <font>
      <b/>
      <sz val="24"/>
      <color theme="8" tint="-0.499984740745262"/>
      <name val="Times New Roman"/>
      <family val="1"/>
    </font>
    <font>
      <sz val="12"/>
      <color rgb="FF000000"/>
      <name val="Calibri"/>
      <family val="2"/>
    </font>
  </fonts>
  <fills count="5">
    <fill>
      <patternFill patternType="none"/>
    </fill>
    <fill>
      <patternFill patternType="gray125"/>
    </fill>
    <fill>
      <patternFill patternType="solid">
        <fgColor rgb="FFEEEEEE"/>
      </patternFill>
    </fill>
    <fill>
      <patternFill patternType="solid">
        <fgColor theme="4" tint="-0.249977111117893"/>
        <bgColor indexed="64"/>
      </patternFill>
    </fill>
    <fill>
      <patternFill patternType="solid">
        <fgColor theme="4" tint="0.39997558519241921"/>
        <bgColor indexed="64"/>
      </patternFill>
    </fill>
  </fills>
  <borders count="18">
    <border>
      <left/>
      <right/>
      <top/>
      <bottom/>
      <diagonal/>
    </border>
    <border>
      <left style="thin">
        <color rgb="FF666666"/>
      </left>
      <right style="thin">
        <color rgb="FF666666"/>
      </right>
      <top style="thin">
        <color rgb="FF666666"/>
      </top>
      <bottom style="thin">
        <color rgb="FF666666"/>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left" wrapText="1"/>
    </xf>
    <xf numFmtId="0" fontId="1" fillId="2" borderId="1" xfId="0" applyFont="1" applyFill="1" applyBorder="1" applyAlignment="1">
      <alignment horizontal="right" wrapText="1"/>
    </xf>
    <xf numFmtId="164" fontId="2" fillId="0" borderId="1" xfId="0" applyNumberFormat="1"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left" wrapText="1"/>
    </xf>
    <xf numFmtId="0" fontId="0" fillId="0" borderId="0" xfId="0" pivotButton="1"/>
    <xf numFmtId="0" fontId="0" fillId="0" borderId="0" xfId="0" applyAlignment="1">
      <alignment horizontal="left"/>
    </xf>
    <xf numFmtId="0" fontId="0" fillId="0" borderId="2" xfId="0" applyBorder="1"/>
    <xf numFmtId="165" fontId="0" fillId="0" borderId="0" xfId="0" applyNumberFormat="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0" xfId="0" applyFill="1"/>
    <xf numFmtId="0" fontId="0" fillId="3" borderId="8" xfId="0" applyFill="1" applyBorder="1"/>
    <xf numFmtId="0" fontId="0" fillId="3" borderId="9" xfId="0" applyFill="1" applyBorder="1"/>
    <xf numFmtId="0" fontId="3" fillId="3" borderId="10" xfId="0" applyFont="1" applyFill="1" applyBorder="1" applyAlignment="1">
      <alignment horizontal="left"/>
    </xf>
    <xf numFmtId="0" fontId="0" fillId="3" borderId="10" xfId="0" applyFill="1" applyBorder="1"/>
    <xf numFmtId="0" fontId="3" fillId="3" borderId="10" xfId="0" applyFont="1" applyFill="1" applyBorder="1" applyAlignment="1">
      <alignment vertical="center"/>
    </xf>
    <xf numFmtId="0" fontId="0" fillId="3" borderId="11" xfId="0" applyFill="1" applyBorder="1"/>
    <xf numFmtId="0" fontId="3" fillId="3" borderId="10" xfId="0" applyFont="1" applyFill="1" applyBorder="1" applyAlignment="1">
      <alignment horizontal="left" vertical="center"/>
    </xf>
    <xf numFmtId="165" fontId="3" fillId="3" borderId="0" xfId="0" applyNumberFormat="1" applyFont="1" applyFill="1" applyAlignment="1">
      <alignment vertical="center"/>
    </xf>
    <xf numFmtId="165" fontId="3" fillId="3" borderId="0" xfId="0" applyNumberFormat="1" applyFont="1" applyFill="1" applyAlignment="1">
      <alignment vertical="top"/>
    </xf>
    <xf numFmtId="0" fontId="3" fillId="3" borderId="0" xfId="0" applyFont="1" applyFill="1" applyAlignment="1">
      <alignment horizontal="left" vertical="center"/>
    </xf>
    <xf numFmtId="0" fontId="4" fillId="3" borderId="0" xfId="0" applyFont="1" applyFill="1" applyAlignment="1">
      <alignment horizontal="center" vertical="center"/>
    </xf>
    <xf numFmtId="0" fontId="0" fillId="3" borderId="13" xfId="0" applyFill="1" applyBorder="1"/>
    <xf numFmtId="0" fontId="5" fillId="3" borderId="14" xfId="0" applyFont="1" applyFill="1" applyBorder="1"/>
    <xf numFmtId="0" fontId="0" fillId="3" borderId="14" xfId="0" applyFill="1" applyBorder="1"/>
    <xf numFmtId="0" fontId="0" fillId="3" borderId="15" xfId="0" applyFill="1" applyBorder="1"/>
    <xf numFmtId="0" fontId="0" fillId="4" borderId="7" xfId="0" applyFill="1" applyBorder="1"/>
    <xf numFmtId="0" fontId="0" fillId="4" borderId="0" xfId="0" applyFill="1"/>
    <xf numFmtId="0" fontId="0" fillId="4" borderId="8" xfId="0" applyFill="1" applyBorder="1"/>
    <xf numFmtId="0" fontId="0" fillId="4" borderId="9" xfId="0" applyFill="1" applyBorder="1"/>
    <xf numFmtId="0" fontId="0" fillId="4" borderId="10" xfId="0" applyFill="1" applyBorder="1"/>
    <xf numFmtId="0" fontId="0" fillId="4" borderId="11" xfId="0" applyFill="1" applyBorder="1"/>
    <xf numFmtId="0" fontId="6" fillId="3" borderId="0" xfId="0" applyFont="1" applyFill="1" applyAlignment="1">
      <alignment horizontal="center"/>
    </xf>
    <xf numFmtId="0" fontId="0" fillId="0" borderId="0" xfId="0" applyNumberFormat="1"/>
    <xf numFmtId="0" fontId="7" fillId="4" borderId="3" xfId="0" applyFont="1" applyFill="1" applyBorder="1"/>
    <xf numFmtId="0" fontId="7" fillId="4" borderId="16" xfId="0" applyFont="1" applyFill="1" applyBorder="1" applyAlignment="1">
      <alignment horizontal="left"/>
    </xf>
    <xf numFmtId="0" fontId="7" fillId="4" borderId="16" xfId="0" applyNumberFormat="1" applyFont="1" applyFill="1" applyBorder="1"/>
    <xf numFmtId="0" fontId="7" fillId="4" borderId="17" xfId="0" applyFont="1" applyFill="1" applyBorder="1" applyAlignment="1">
      <alignment horizontal="left"/>
    </xf>
    <xf numFmtId="0" fontId="7" fillId="4" borderId="17" xfId="0" applyNumberFormat="1" applyFont="1" applyFill="1" applyBorder="1"/>
    <xf numFmtId="0" fontId="7" fillId="4" borderId="12" xfId="0" applyFont="1" applyFill="1" applyBorder="1" applyAlignment="1">
      <alignment horizontal="left"/>
    </xf>
    <xf numFmtId="0" fontId="7" fillId="4" borderId="12" xfId="0" applyNumberFormat="1" applyFont="1" applyFill="1" applyBorder="1"/>
    <xf numFmtId="0" fontId="4" fillId="3" borderId="5" xfId="0" applyFont="1" applyFill="1" applyBorder="1" applyAlignment="1">
      <alignment horizontal="center" vertical="center"/>
    </xf>
  </cellXfs>
  <cellStyles count="1">
    <cellStyle name="Normal" xfId="0" builtinId="0"/>
  </cellStyles>
  <dxfs count="6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ont>
        <sz val="12"/>
      </font>
    </dxf>
    <dxf>
      <font>
        <sz val="12"/>
      </font>
    </dxf>
    <dxf>
      <font>
        <sz val="12"/>
      </font>
    </dxf>
    <dxf>
      <font>
        <sz val="12"/>
      </font>
    </dxf>
    <dxf>
      <font>
        <sz val="12"/>
      </font>
    </dxf>
    <dxf>
      <numFmt numFmtId="165"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ont>
        <sz val="12"/>
      </font>
    </dxf>
    <dxf>
      <font>
        <sz val="12"/>
      </font>
    </dxf>
    <dxf>
      <font>
        <sz val="12"/>
      </font>
    </dxf>
    <dxf>
      <font>
        <sz val="12"/>
      </font>
    </dxf>
    <dxf>
      <font>
        <sz val="12"/>
      </font>
    </dxf>
    <dxf>
      <numFmt numFmtId="165"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ont>
        <sz val="12"/>
      </font>
    </dxf>
    <dxf>
      <font>
        <sz val="12"/>
      </font>
    </dxf>
    <dxf>
      <font>
        <sz val="12"/>
      </font>
    </dxf>
    <dxf>
      <font>
        <sz val="12"/>
      </font>
    </dxf>
    <dxf>
      <font>
        <sz val="12"/>
      </font>
    </dxf>
    <dxf>
      <numFmt numFmtId="165" formatCode="_ [$₹-4009]\ * #,##0.00_ ;_ [$₹-4009]\ * \-#,##0.00_ ;_ [$₹-4009]\ * &quot;-&quot;??_ ;_ @_ "/>
    </dxf>
    <dxf>
      <font>
        <sz val="12"/>
      </font>
    </dxf>
    <dxf>
      <font>
        <sz val="12"/>
      </font>
    </dxf>
    <dxf>
      <font>
        <sz val="12"/>
      </font>
    </dxf>
    <dxf>
      <font>
        <sz val="12"/>
      </font>
    </dxf>
    <dxf>
      <font>
        <sz val="12"/>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to track fruits sales Analysis.xlsx]Data Visual!PivotTable1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GENERATED VS FRUITS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Visual'!$B$17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Visual'!$A$18:$A$27</c:f>
              <c:strCache>
                <c:ptCount val="10"/>
                <c:pt idx="0">
                  <c:v>AMLA</c:v>
                </c:pt>
                <c:pt idx="1">
                  <c:v>APPLE</c:v>
                </c:pt>
                <c:pt idx="2">
                  <c:v>BANANA</c:v>
                </c:pt>
                <c:pt idx="3">
                  <c:v>GAUVA</c:v>
                </c:pt>
                <c:pt idx="4">
                  <c:v>GRAPES</c:v>
                </c:pt>
                <c:pt idx="5">
                  <c:v>ORANGE</c:v>
                </c:pt>
                <c:pt idx="6">
                  <c:v>PAPAYA</c:v>
                </c:pt>
                <c:pt idx="7">
                  <c:v>PINE APPLE</c:v>
                </c:pt>
                <c:pt idx="8">
                  <c:v>POMEGRANATE</c:v>
                </c:pt>
                <c:pt idx="9">
                  <c:v>WATER MELON</c:v>
                </c:pt>
              </c:strCache>
            </c:strRef>
          </c:cat>
          <c:val>
            <c:numRef>
              <c:f>'Data Visual'!$B$18:$B$27</c:f>
              <c:numCache>
                <c:formatCode>General</c:formatCode>
                <c:ptCount val="10"/>
                <c:pt idx="0">
                  <c:v>25740</c:v>
                </c:pt>
                <c:pt idx="1">
                  <c:v>44800</c:v>
                </c:pt>
                <c:pt idx="2">
                  <c:v>11600</c:v>
                </c:pt>
                <c:pt idx="3">
                  <c:v>12000</c:v>
                </c:pt>
                <c:pt idx="4">
                  <c:v>18500</c:v>
                </c:pt>
                <c:pt idx="5">
                  <c:v>27300</c:v>
                </c:pt>
                <c:pt idx="6">
                  <c:v>13860</c:v>
                </c:pt>
                <c:pt idx="7">
                  <c:v>12960</c:v>
                </c:pt>
                <c:pt idx="8">
                  <c:v>14940</c:v>
                </c:pt>
                <c:pt idx="9">
                  <c:v>9120</c:v>
                </c:pt>
              </c:numCache>
            </c:numRef>
          </c:val>
          <c:extLst>
            <c:ext xmlns:c16="http://schemas.microsoft.com/office/drawing/2014/chart" uri="{C3380CC4-5D6E-409C-BE32-E72D297353CC}">
              <c16:uniqueId val="{00000000-074F-428E-93F2-AE9EBD70F134}"/>
            </c:ext>
          </c:extLst>
        </c:ser>
        <c:dLbls>
          <c:showLegendKey val="0"/>
          <c:showVal val="1"/>
          <c:showCatName val="0"/>
          <c:showSerName val="0"/>
          <c:showPercent val="0"/>
          <c:showBubbleSize val="0"/>
        </c:dLbls>
        <c:gapWidth val="150"/>
        <c:shape val="box"/>
        <c:axId val="1509916431"/>
        <c:axId val="1509916911"/>
        <c:axId val="0"/>
      </c:bar3DChart>
      <c:catAx>
        <c:axId val="150991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16911"/>
        <c:crosses val="autoZero"/>
        <c:auto val="1"/>
        <c:lblAlgn val="ctr"/>
        <c:lblOffset val="100"/>
        <c:noMultiLvlLbl val="0"/>
      </c:catAx>
      <c:valAx>
        <c:axId val="1509916911"/>
        <c:scaling>
          <c:orientation val="minMax"/>
          <c:max val="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16431"/>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to track fruits sales Analysis.xlsx]Data Analyse!PivotTable3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'Data Analyse'!$O$3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3B-48FD-B100-7BBDDD52029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3B-48FD-B100-7BBDDD52029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3B-48FD-B100-7BBDDD52029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C3B-48FD-B100-7BBDDD52029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C3B-48FD-B100-7BBDDD52029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C3B-48FD-B100-7BBDDD52029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C3B-48FD-B100-7BBDDD52029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C3B-48FD-B100-7BBDDD520290}"/>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C3B-48FD-B100-7BBDDD520290}"/>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C3B-48FD-B100-7BBDDD5202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 Analyse'!$N$4:$N$14</c:f>
              <c:strCache>
                <c:ptCount val="10"/>
                <c:pt idx="0">
                  <c:v>AMLA</c:v>
                </c:pt>
                <c:pt idx="1">
                  <c:v>APPLE</c:v>
                </c:pt>
                <c:pt idx="2">
                  <c:v>BANANA</c:v>
                </c:pt>
                <c:pt idx="3">
                  <c:v>GAUVA</c:v>
                </c:pt>
                <c:pt idx="4">
                  <c:v>GRAPES</c:v>
                </c:pt>
                <c:pt idx="5">
                  <c:v>ORANGE</c:v>
                </c:pt>
                <c:pt idx="6">
                  <c:v>PAPAYA</c:v>
                </c:pt>
                <c:pt idx="7">
                  <c:v>PINE APPLE</c:v>
                </c:pt>
                <c:pt idx="8">
                  <c:v>POMEGRANATE</c:v>
                </c:pt>
                <c:pt idx="9">
                  <c:v>WATER MELON</c:v>
                </c:pt>
              </c:strCache>
            </c:strRef>
          </c:cat>
          <c:val>
            <c:numRef>
              <c:f>'Data Analyse'!$O$4:$O$14</c:f>
              <c:numCache>
                <c:formatCode>General</c:formatCode>
                <c:ptCount val="10"/>
                <c:pt idx="0">
                  <c:v>33</c:v>
                </c:pt>
                <c:pt idx="1">
                  <c:v>42</c:v>
                </c:pt>
                <c:pt idx="2">
                  <c:v>25</c:v>
                </c:pt>
                <c:pt idx="3">
                  <c:v>39</c:v>
                </c:pt>
                <c:pt idx="4">
                  <c:v>50</c:v>
                </c:pt>
                <c:pt idx="5">
                  <c:v>41</c:v>
                </c:pt>
                <c:pt idx="6">
                  <c:v>32</c:v>
                </c:pt>
                <c:pt idx="7">
                  <c:v>27</c:v>
                </c:pt>
                <c:pt idx="8">
                  <c:v>18</c:v>
                </c:pt>
                <c:pt idx="9">
                  <c:v>24</c:v>
                </c:pt>
              </c:numCache>
            </c:numRef>
          </c:val>
          <c:extLst>
            <c:ext xmlns:c16="http://schemas.microsoft.com/office/drawing/2014/chart" uri="{C3380CC4-5D6E-409C-BE32-E72D297353CC}">
              <c16:uniqueId val="{00000014-0C3B-48FD-B100-7BBDDD52029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to track fruits sales Analysis.xlsx]Data Analyse!PivotTable2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FRUITS VS</a:t>
            </a:r>
          </a:p>
          <a:p>
            <a:pPr>
              <a:defRPr/>
            </a:pPr>
            <a:r>
              <a:rPr lang="en-IN"/>
              <a:t>QUANTITY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Analyse'!$H$3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Analyse'!$G$4:$G$14</c:f>
              <c:strCache>
                <c:ptCount val="10"/>
                <c:pt idx="0">
                  <c:v>AMLA</c:v>
                </c:pt>
                <c:pt idx="1">
                  <c:v>APPLE</c:v>
                </c:pt>
                <c:pt idx="2">
                  <c:v>BANANA</c:v>
                </c:pt>
                <c:pt idx="3">
                  <c:v>GAUVA</c:v>
                </c:pt>
                <c:pt idx="4">
                  <c:v>GRAPES</c:v>
                </c:pt>
                <c:pt idx="5">
                  <c:v>ORANGE</c:v>
                </c:pt>
                <c:pt idx="6">
                  <c:v>PAPAYA</c:v>
                </c:pt>
                <c:pt idx="7">
                  <c:v>PINE APPLE</c:v>
                </c:pt>
                <c:pt idx="8">
                  <c:v>POMEGRANATE</c:v>
                </c:pt>
                <c:pt idx="9">
                  <c:v>WATER MELON</c:v>
                </c:pt>
              </c:strCache>
            </c:strRef>
          </c:cat>
          <c:val>
            <c:numRef>
              <c:f>'Data Analyse'!$H$4:$H$14</c:f>
              <c:numCache>
                <c:formatCode>General</c:formatCode>
                <c:ptCount val="10"/>
                <c:pt idx="0">
                  <c:v>198</c:v>
                </c:pt>
                <c:pt idx="1">
                  <c:v>224</c:v>
                </c:pt>
                <c:pt idx="2">
                  <c:v>145</c:v>
                </c:pt>
                <c:pt idx="3">
                  <c:v>240</c:v>
                </c:pt>
                <c:pt idx="4">
                  <c:v>185</c:v>
                </c:pt>
                <c:pt idx="5">
                  <c:v>182</c:v>
                </c:pt>
                <c:pt idx="6">
                  <c:v>99</c:v>
                </c:pt>
                <c:pt idx="7">
                  <c:v>81</c:v>
                </c:pt>
                <c:pt idx="8">
                  <c:v>83</c:v>
                </c:pt>
                <c:pt idx="9">
                  <c:v>48</c:v>
                </c:pt>
              </c:numCache>
            </c:numRef>
          </c:val>
          <c:extLst>
            <c:ext xmlns:c16="http://schemas.microsoft.com/office/drawing/2014/chart" uri="{C3380CC4-5D6E-409C-BE32-E72D297353CC}">
              <c16:uniqueId val="{00000000-0B3D-47F4-AB4A-95F8D3C6B063}"/>
            </c:ext>
          </c:extLst>
        </c:ser>
        <c:dLbls>
          <c:dLblPos val="inEnd"/>
          <c:showLegendKey val="0"/>
          <c:showVal val="1"/>
          <c:showCatName val="0"/>
          <c:showSerName val="0"/>
          <c:showPercent val="0"/>
          <c:showBubbleSize val="0"/>
        </c:dLbls>
        <c:gapWidth val="65"/>
        <c:axId val="1658047343"/>
        <c:axId val="1658055023"/>
      </c:barChart>
      <c:catAx>
        <c:axId val="16580473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8055023"/>
        <c:crosses val="autoZero"/>
        <c:auto val="1"/>
        <c:lblAlgn val="ctr"/>
        <c:lblOffset val="100"/>
        <c:noMultiLvlLbl val="0"/>
      </c:catAx>
      <c:valAx>
        <c:axId val="16580550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804734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image" Target="../media/image5.svg"/><Relationship Id="rId12"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image" Target="../media/image3.svg"/><Relationship Id="rId15" Type="http://schemas.openxmlformats.org/officeDocument/2006/relationships/image" Target="../media/image13.pn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0</xdr:col>
      <xdr:colOff>46939</xdr:colOff>
      <xdr:row>36</xdr:row>
      <xdr:rowOff>70884</xdr:rowOff>
    </xdr:from>
    <xdr:to>
      <xdr:col>13</xdr:col>
      <xdr:colOff>584792</xdr:colOff>
      <xdr:row>67</xdr:row>
      <xdr:rowOff>141767</xdr:rowOff>
    </xdr:to>
    <xdr:graphicFrame macro="">
      <xdr:nvGraphicFramePr>
        <xdr:cNvPr id="2" name="Chart 1">
          <a:extLst>
            <a:ext uri="{FF2B5EF4-FFF2-40B4-BE49-F238E27FC236}">
              <a16:creationId xmlns:a16="http://schemas.microsoft.com/office/drawing/2014/main" id="{621CD135-A486-9D2E-2497-91FF6EA93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70884</xdr:colOff>
      <xdr:row>10</xdr:row>
      <xdr:rowOff>12290</xdr:rowOff>
    </xdr:from>
    <xdr:to>
      <xdr:col>24</xdr:col>
      <xdr:colOff>566614</xdr:colOff>
      <xdr:row>67</xdr:row>
      <xdr:rowOff>152400</xdr:rowOff>
    </xdr:to>
    <xdr:graphicFrame macro="">
      <xdr:nvGraphicFramePr>
        <xdr:cNvPr id="3" name="Chart 2">
          <a:extLst>
            <a:ext uri="{FF2B5EF4-FFF2-40B4-BE49-F238E27FC236}">
              <a16:creationId xmlns:a16="http://schemas.microsoft.com/office/drawing/2014/main" id="{8B9B2A6F-3B5C-4C15-B4AB-4886B5A0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208935</xdr:colOff>
      <xdr:row>13</xdr:row>
      <xdr:rowOff>106325</xdr:rowOff>
    </xdr:from>
    <xdr:to>
      <xdr:col>14</xdr:col>
      <xdr:colOff>1</xdr:colOff>
      <xdr:row>36</xdr:row>
      <xdr:rowOff>17721</xdr:rowOff>
    </xdr:to>
    <xdr:graphicFrame macro="">
      <xdr:nvGraphicFramePr>
        <xdr:cNvPr id="4" name="Chart 3">
          <a:extLst>
            <a:ext uri="{FF2B5EF4-FFF2-40B4-BE49-F238E27FC236}">
              <a16:creationId xmlns:a16="http://schemas.microsoft.com/office/drawing/2014/main" id="{28A4F158-0CD5-4053-B12B-AFCEE0CB2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2339164</xdr:colOff>
      <xdr:row>9</xdr:row>
      <xdr:rowOff>154053</xdr:rowOff>
    </xdr:from>
    <xdr:to>
      <xdr:col>3</xdr:col>
      <xdr:colOff>2640420</xdr:colOff>
      <xdr:row>13</xdr:row>
      <xdr:rowOff>84971</xdr:rowOff>
    </xdr:to>
    <mc:AlternateContent xmlns:mc="http://schemas.openxmlformats.org/markup-compatibility/2006" xmlns:a14="http://schemas.microsoft.com/office/drawing/2010/main">
      <mc:Choice Requires="a14">
        <xdr:graphicFrame macro="">
          <xdr:nvGraphicFramePr>
            <xdr:cNvPr id="5" name="SALES_DATE">
              <a:extLst>
                <a:ext uri="{FF2B5EF4-FFF2-40B4-BE49-F238E27FC236}">
                  <a16:creationId xmlns:a16="http://schemas.microsoft.com/office/drawing/2014/main" id="{B97900D8-8C88-48E7-89A9-BDC9C00A14B2}"/>
                </a:ext>
              </a:extLst>
            </xdr:cNvPr>
            <xdr:cNvGraphicFramePr/>
          </xdr:nvGraphicFramePr>
          <xdr:xfrm>
            <a:off x="0" y="0"/>
            <a:ext cx="0" cy="0"/>
          </xdr:xfrm>
          <a:graphic>
            <a:graphicData uri="http://schemas.microsoft.com/office/drawing/2010/slicer">
              <sle:slicer xmlns:sle="http://schemas.microsoft.com/office/drawing/2010/slicer" name="SALES_DATE"/>
            </a:graphicData>
          </a:graphic>
        </xdr:graphicFrame>
      </mc:Choice>
      <mc:Fallback xmlns="">
        <xdr:sp macro="" textlink="">
          <xdr:nvSpPr>
            <xdr:cNvPr id="0" name=""/>
            <xdr:cNvSpPr>
              <a:spLocks noTextEdit="1"/>
            </xdr:cNvSpPr>
          </xdr:nvSpPr>
          <xdr:spPr>
            <a:xfrm>
              <a:off x="3863164" y="2829913"/>
              <a:ext cx="3455582" cy="1192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248093</xdr:colOff>
      <xdr:row>2</xdr:row>
      <xdr:rowOff>64566</xdr:rowOff>
    </xdr:from>
    <xdr:to>
      <xdr:col>1</xdr:col>
      <xdr:colOff>2161952</xdr:colOff>
      <xdr:row>13</xdr:row>
      <xdr:rowOff>57150</xdr:rowOff>
    </xdr:to>
    <mc:AlternateContent xmlns:mc="http://schemas.openxmlformats.org/markup-compatibility/2006" xmlns:a14="http://schemas.microsoft.com/office/drawing/2010/main">
      <mc:Choice Requires="a14">
        <xdr:graphicFrame macro="">
          <xdr:nvGraphicFramePr>
            <xdr:cNvPr id="6" name="FRUIT_NAME">
              <a:extLst>
                <a:ext uri="{FF2B5EF4-FFF2-40B4-BE49-F238E27FC236}">
                  <a16:creationId xmlns:a16="http://schemas.microsoft.com/office/drawing/2014/main" id="{3A64FD55-58C5-4425-9243-CCD055FD336A}"/>
                </a:ext>
              </a:extLst>
            </xdr:cNvPr>
            <xdr:cNvGraphicFramePr/>
          </xdr:nvGraphicFramePr>
          <xdr:xfrm>
            <a:off x="0" y="0"/>
            <a:ext cx="0" cy="0"/>
          </xdr:xfrm>
          <a:graphic>
            <a:graphicData uri="http://schemas.microsoft.com/office/drawing/2010/slicer">
              <sle:slicer xmlns:sle="http://schemas.microsoft.com/office/drawing/2010/slicer" name="FRUIT_NAME"/>
            </a:graphicData>
          </a:graphic>
        </xdr:graphicFrame>
      </mc:Choice>
      <mc:Fallback xmlns="">
        <xdr:sp macro="" textlink="">
          <xdr:nvSpPr>
            <xdr:cNvPr id="0" name=""/>
            <xdr:cNvSpPr>
              <a:spLocks noTextEdit="1"/>
            </xdr:cNvSpPr>
          </xdr:nvSpPr>
          <xdr:spPr>
            <a:xfrm>
              <a:off x="248093" y="1021496"/>
              <a:ext cx="3437859" cy="2965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xdr:colOff>
      <xdr:row>1</xdr:row>
      <xdr:rowOff>-1</xdr:rowOff>
    </xdr:from>
    <xdr:to>
      <xdr:col>3</xdr:col>
      <xdr:colOff>117230</xdr:colOff>
      <xdr:row>2</xdr:row>
      <xdr:rowOff>152399</xdr:rowOff>
    </xdr:to>
    <xdr:pic>
      <xdr:nvPicPr>
        <xdr:cNvPr id="10" name="Graphic 9" descr="Presentation with bar chart">
          <a:extLst>
            <a:ext uri="{FF2B5EF4-FFF2-40B4-BE49-F238E27FC236}">
              <a16:creationId xmlns:a16="http://schemas.microsoft.com/office/drawing/2014/main" id="{73743060-7B30-84D5-5398-20A529A36E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80153" y="195384"/>
          <a:ext cx="722923" cy="914400"/>
        </a:xfrm>
        <a:prstGeom prst="rect">
          <a:avLst/>
        </a:prstGeom>
      </xdr:spPr>
    </xdr:pic>
    <xdr:clientData/>
  </xdr:twoCellAnchor>
  <xdr:twoCellAnchor editAs="oneCell">
    <xdr:from>
      <xdr:col>11</xdr:col>
      <xdr:colOff>373252</xdr:colOff>
      <xdr:row>10</xdr:row>
      <xdr:rowOff>230906</xdr:rowOff>
    </xdr:from>
    <xdr:to>
      <xdr:col>13</xdr:col>
      <xdr:colOff>74576</xdr:colOff>
      <xdr:row>13</xdr:row>
      <xdr:rowOff>81381</xdr:rowOff>
    </xdr:to>
    <xdr:pic>
      <xdr:nvPicPr>
        <xdr:cNvPr id="12" name="Graphic 11" descr="Trophy">
          <a:extLst>
            <a:ext uri="{FF2B5EF4-FFF2-40B4-BE49-F238E27FC236}">
              <a16:creationId xmlns:a16="http://schemas.microsoft.com/office/drawing/2014/main" id="{DBE97DC4-3E58-10EB-ED37-CB532FBD0B6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603602" y="3107456"/>
          <a:ext cx="920524" cy="917275"/>
        </a:xfrm>
        <a:prstGeom prst="rect">
          <a:avLst/>
        </a:prstGeom>
      </xdr:spPr>
    </xdr:pic>
    <xdr:clientData/>
  </xdr:twoCellAnchor>
  <xdr:twoCellAnchor editAs="oneCell">
    <xdr:from>
      <xdr:col>5</xdr:col>
      <xdr:colOff>1211385</xdr:colOff>
      <xdr:row>5</xdr:row>
      <xdr:rowOff>293076</xdr:rowOff>
    </xdr:from>
    <xdr:to>
      <xdr:col>5</xdr:col>
      <xdr:colOff>2125785</xdr:colOff>
      <xdr:row>9</xdr:row>
      <xdr:rowOff>35169</xdr:rowOff>
    </xdr:to>
    <xdr:pic>
      <xdr:nvPicPr>
        <xdr:cNvPr id="17" name="Graphic 16" descr="Money">
          <a:extLst>
            <a:ext uri="{FF2B5EF4-FFF2-40B4-BE49-F238E27FC236}">
              <a16:creationId xmlns:a16="http://schemas.microsoft.com/office/drawing/2014/main" id="{5955AB23-3E84-E4F0-C1F0-E21C3D5049F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14154" y="1797538"/>
          <a:ext cx="914400" cy="914400"/>
        </a:xfrm>
        <a:prstGeom prst="rect">
          <a:avLst/>
        </a:prstGeom>
      </xdr:spPr>
    </xdr:pic>
    <xdr:clientData/>
  </xdr:twoCellAnchor>
  <xdr:twoCellAnchor editAs="oneCell">
    <xdr:from>
      <xdr:col>14</xdr:col>
      <xdr:colOff>136769</xdr:colOff>
      <xdr:row>5</xdr:row>
      <xdr:rowOff>351692</xdr:rowOff>
    </xdr:from>
    <xdr:to>
      <xdr:col>15</xdr:col>
      <xdr:colOff>410308</xdr:colOff>
      <xdr:row>9</xdr:row>
      <xdr:rowOff>58616</xdr:rowOff>
    </xdr:to>
    <xdr:pic>
      <xdr:nvPicPr>
        <xdr:cNvPr id="19" name="Graphic 18" descr="Shopping cart">
          <a:extLst>
            <a:ext uri="{FF2B5EF4-FFF2-40B4-BE49-F238E27FC236}">
              <a16:creationId xmlns:a16="http://schemas.microsoft.com/office/drawing/2014/main" id="{92CB5BCD-4ADB-3597-1270-9149364EF34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494000" y="1856154"/>
          <a:ext cx="879231" cy="879231"/>
        </a:xfrm>
        <a:prstGeom prst="rect">
          <a:avLst/>
        </a:prstGeom>
      </xdr:spPr>
    </xdr:pic>
    <xdr:clientData/>
  </xdr:twoCellAnchor>
  <xdr:twoCellAnchor editAs="oneCell">
    <xdr:from>
      <xdr:col>4</xdr:col>
      <xdr:colOff>440587</xdr:colOff>
      <xdr:row>10</xdr:row>
      <xdr:rowOff>211856</xdr:rowOff>
    </xdr:from>
    <xdr:to>
      <xdr:col>5</xdr:col>
      <xdr:colOff>745387</xdr:colOff>
      <xdr:row>13</xdr:row>
      <xdr:rowOff>62331</xdr:rowOff>
    </xdr:to>
    <xdr:pic>
      <xdr:nvPicPr>
        <xdr:cNvPr id="20" name="Graphic 19" descr="Trophy">
          <a:extLst>
            <a:ext uri="{FF2B5EF4-FFF2-40B4-BE49-F238E27FC236}">
              <a16:creationId xmlns:a16="http://schemas.microsoft.com/office/drawing/2014/main" id="{95B41B47-93BD-4DB4-B340-859344AD3B8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12"/>
            </a:ext>
          </a:extLst>
        </a:blip>
        <a:stretch>
          <a:fillRect/>
        </a:stretch>
      </xdr:blipFill>
      <xdr:spPr>
        <a:xfrm>
          <a:off x="8022487" y="3088406"/>
          <a:ext cx="914400" cy="917275"/>
        </a:xfrm>
        <a:prstGeom prst="rect">
          <a:avLst/>
        </a:prstGeom>
      </xdr:spPr>
    </xdr:pic>
    <xdr:clientData/>
  </xdr:twoCellAnchor>
  <xdr:twoCellAnchor editAs="oneCell">
    <xdr:from>
      <xdr:col>21</xdr:col>
      <xdr:colOff>0</xdr:colOff>
      <xdr:row>5</xdr:row>
      <xdr:rowOff>293076</xdr:rowOff>
    </xdr:from>
    <xdr:to>
      <xdr:col>22</xdr:col>
      <xdr:colOff>308708</xdr:colOff>
      <xdr:row>9</xdr:row>
      <xdr:rowOff>35169</xdr:rowOff>
    </xdr:to>
    <xdr:pic>
      <xdr:nvPicPr>
        <xdr:cNvPr id="22" name="Graphic 21" descr="Users">
          <a:extLst>
            <a:ext uri="{FF2B5EF4-FFF2-40B4-BE49-F238E27FC236}">
              <a16:creationId xmlns:a16="http://schemas.microsoft.com/office/drawing/2014/main" id="{9F229E42-7440-96E1-99C0-436D84A35EC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675231" y="1797538"/>
          <a:ext cx="914400" cy="914400"/>
        </a:xfrm>
        <a:prstGeom prst="rect">
          <a:avLst/>
        </a:prstGeom>
      </xdr:spPr>
    </xdr:pic>
    <xdr:clientData/>
  </xdr:twoCellAnchor>
  <xdr:twoCellAnchor editAs="oneCell">
    <xdr:from>
      <xdr:col>0</xdr:col>
      <xdr:colOff>838369</xdr:colOff>
      <xdr:row>28</xdr:row>
      <xdr:rowOff>90292</xdr:rowOff>
    </xdr:from>
    <xdr:to>
      <xdr:col>1</xdr:col>
      <xdr:colOff>402941</xdr:colOff>
      <xdr:row>34</xdr:row>
      <xdr:rowOff>90294</xdr:rowOff>
    </xdr:to>
    <xdr:pic>
      <xdr:nvPicPr>
        <xdr:cNvPr id="28" name="Graphic 27" descr="Bullseye">
          <a:extLst>
            <a:ext uri="{FF2B5EF4-FFF2-40B4-BE49-F238E27FC236}">
              <a16:creationId xmlns:a16="http://schemas.microsoft.com/office/drawing/2014/main" id="{50CC8FBD-CFC3-F7AD-D1CF-5732A61FCE0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38369" y="6930571"/>
          <a:ext cx="1088572" cy="10632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2.525646759263" createdVersion="8" refreshedVersion="8" minRefreshableVersion="3" recordCount="60" xr:uid="{4427DFCD-829F-401B-87AC-581213C230C2}">
  <cacheSource type="worksheet">
    <worksheetSource name="sheet1"/>
  </cacheSource>
  <cacheFields count="6">
    <cacheField name="SALES_DATE" numFmtId="164">
      <sharedItems containsSemiMixedTypes="0" containsNonDate="0" containsDate="1" containsString="0" minDate="2025-09-15T00:00:00" maxDate="2025-09-21T00:00:00" count="6">
        <d v="2025-09-15T00:00:00"/>
        <d v="2025-09-16T00:00:00"/>
        <d v="2025-09-17T00:00:00"/>
        <d v="2025-09-18T00:00:00"/>
        <d v="2025-09-19T00:00:00"/>
        <d v="2025-09-20T00:00:00"/>
      </sharedItems>
    </cacheField>
    <cacheField name="FRUIT_ID" numFmtId="0">
      <sharedItems containsSemiMixedTypes="0" containsString="0" containsNumber="1" containsInteger="1" minValue="10" maxValue="19"/>
    </cacheField>
    <cacheField name="FRUIT_NAME" numFmtId="0">
      <sharedItems count="10">
        <s v="APPLE"/>
        <s v="ORANGE"/>
        <s v="GRAPES"/>
        <s v="GAUVA"/>
        <s v="BANANA"/>
        <s v="PINE APPLE"/>
        <s v="POMEGRANATE"/>
        <s v="PAPAYA"/>
        <s v="WATER MELON"/>
        <s v="AMLA"/>
      </sharedItems>
    </cacheField>
    <cacheField name="TOTAL_CUSTOMERS" numFmtId="0">
      <sharedItems containsSemiMixedTypes="0" containsString="0" containsNumber="1" containsInteger="1" minValue="2" maxValue="11"/>
    </cacheField>
    <cacheField name="TOTAL_QUANTITY_SOLD" numFmtId="0">
      <sharedItems containsSemiMixedTypes="0" containsString="0" containsNumber="1" containsInteger="1" minValue="6" maxValue="56"/>
    </cacheField>
    <cacheField name="TOTAL_REVENUE" numFmtId="0">
      <sharedItems containsSemiMixedTypes="0" containsString="0" containsNumber="1" containsInteger="1" minValue="1140" maxValue="11200"/>
    </cacheField>
  </cacheFields>
  <extLst>
    <ext xmlns:x14="http://schemas.microsoft.com/office/spreadsheetml/2009/9/main" uri="{725AE2AE-9491-48be-B2B4-4EB974FC3084}">
      <x14:pivotCacheDefinition pivotCacheId="2057313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n v="10"/>
    <x v="0"/>
    <n v="11"/>
    <n v="56"/>
    <n v="11200"/>
  </r>
  <r>
    <x v="0"/>
    <n v="11"/>
    <x v="1"/>
    <n v="11"/>
    <n v="44"/>
    <n v="6600"/>
  </r>
  <r>
    <x v="0"/>
    <n v="12"/>
    <x v="2"/>
    <n v="11"/>
    <n v="40"/>
    <n v="4000"/>
  </r>
  <r>
    <x v="0"/>
    <n v="13"/>
    <x v="3"/>
    <n v="9"/>
    <n v="50"/>
    <n v="2500"/>
  </r>
  <r>
    <x v="0"/>
    <n v="14"/>
    <x v="4"/>
    <n v="5"/>
    <n v="32"/>
    <n v="2560"/>
  </r>
  <r>
    <x v="0"/>
    <n v="15"/>
    <x v="5"/>
    <n v="7"/>
    <n v="18"/>
    <n v="2880"/>
  </r>
  <r>
    <x v="0"/>
    <n v="16"/>
    <x v="6"/>
    <n v="4"/>
    <n v="22"/>
    <n v="3960"/>
  </r>
  <r>
    <x v="0"/>
    <n v="17"/>
    <x v="7"/>
    <n v="8"/>
    <n v="24"/>
    <n v="3360"/>
  </r>
  <r>
    <x v="0"/>
    <n v="18"/>
    <x v="8"/>
    <n v="6"/>
    <n v="10"/>
    <n v="1900"/>
  </r>
  <r>
    <x v="0"/>
    <n v="19"/>
    <x v="9"/>
    <n v="8"/>
    <n v="44"/>
    <n v="5720"/>
  </r>
  <r>
    <x v="1"/>
    <n v="10"/>
    <x v="0"/>
    <n v="5"/>
    <n v="29"/>
    <n v="5800"/>
  </r>
  <r>
    <x v="1"/>
    <n v="11"/>
    <x v="1"/>
    <n v="5"/>
    <n v="23"/>
    <n v="3450"/>
  </r>
  <r>
    <x v="1"/>
    <n v="12"/>
    <x v="2"/>
    <n v="7"/>
    <n v="22"/>
    <n v="2200"/>
  </r>
  <r>
    <x v="1"/>
    <n v="13"/>
    <x v="3"/>
    <n v="7"/>
    <n v="43"/>
    <n v="2150"/>
  </r>
  <r>
    <x v="1"/>
    <n v="14"/>
    <x v="4"/>
    <n v="4"/>
    <n v="22"/>
    <n v="1760"/>
  </r>
  <r>
    <x v="1"/>
    <n v="15"/>
    <x v="5"/>
    <n v="4"/>
    <n v="14"/>
    <n v="2240"/>
  </r>
  <r>
    <x v="1"/>
    <n v="16"/>
    <x v="6"/>
    <n v="3"/>
    <n v="14"/>
    <n v="2520"/>
  </r>
  <r>
    <x v="1"/>
    <n v="17"/>
    <x v="7"/>
    <n v="5"/>
    <n v="15"/>
    <n v="2100"/>
  </r>
  <r>
    <x v="1"/>
    <n v="18"/>
    <x v="8"/>
    <n v="3"/>
    <n v="7"/>
    <n v="1330"/>
  </r>
  <r>
    <x v="1"/>
    <n v="19"/>
    <x v="9"/>
    <n v="4"/>
    <n v="31"/>
    <n v="4030"/>
  </r>
  <r>
    <x v="2"/>
    <n v="10"/>
    <x v="0"/>
    <n v="5"/>
    <n v="27"/>
    <n v="5400"/>
  </r>
  <r>
    <x v="2"/>
    <n v="11"/>
    <x v="1"/>
    <n v="5"/>
    <n v="26"/>
    <n v="3900"/>
  </r>
  <r>
    <x v="2"/>
    <n v="12"/>
    <x v="2"/>
    <n v="8"/>
    <n v="28"/>
    <n v="2800"/>
  </r>
  <r>
    <x v="2"/>
    <n v="13"/>
    <x v="3"/>
    <n v="6"/>
    <n v="46"/>
    <n v="2300"/>
  </r>
  <r>
    <x v="2"/>
    <n v="14"/>
    <x v="4"/>
    <n v="5"/>
    <n v="27"/>
    <n v="2160"/>
  </r>
  <r>
    <x v="2"/>
    <n v="15"/>
    <x v="5"/>
    <n v="4"/>
    <n v="16"/>
    <n v="2560"/>
  </r>
  <r>
    <x v="2"/>
    <n v="16"/>
    <x v="6"/>
    <n v="2"/>
    <n v="7"/>
    <n v="1260"/>
  </r>
  <r>
    <x v="2"/>
    <n v="17"/>
    <x v="7"/>
    <n v="3"/>
    <n v="10"/>
    <n v="1400"/>
  </r>
  <r>
    <x v="2"/>
    <n v="18"/>
    <x v="8"/>
    <n v="4"/>
    <n v="10"/>
    <n v="1900"/>
  </r>
  <r>
    <x v="2"/>
    <n v="19"/>
    <x v="9"/>
    <n v="5"/>
    <n v="29"/>
    <n v="3770"/>
  </r>
  <r>
    <x v="3"/>
    <n v="10"/>
    <x v="0"/>
    <n v="6"/>
    <n v="31"/>
    <n v="6200"/>
  </r>
  <r>
    <x v="3"/>
    <n v="11"/>
    <x v="1"/>
    <n v="6"/>
    <n v="24"/>
    <n v="3600"/>
  </r>
  <r>
    <x v="3"/>
    <n v="12"/>
    <x v="2"/>
    <n v="7"/>
    <n v="25"/>
    <n v="2500"/>
  </r>
  <r>
    <x v="3"/>
    <n v="13"/>
    <x v="3"/>
    <n v="6"/>
    <n v="33"/>
    <n v="1650"/>
  </r>
  <r>
    <x v="3"/>
    <n v="14"/>
    <x v="4"/>
    <n v="3"/>
    <n v="18"/>
    <n v="1440"/>
  </r>
  <r>
    <x v="3"/>
    <n v="15"/>
    <x v="5"/>
    <n v="5"/>
    <n v="15"/>
    <n v="2400"/>
  </r>
  <r>
    <x v="3"/>
    <n v="16"/>
    <x v="6"/>
    <n v="3"/>
    <n v="14"/>
    <n v="2520"/>
  </r>
  <r>
    <x v="3"/>
    <n v="17"/>
    <x v="7"/>
    <n v="5"/>
    <n v="15"/>
    <n v="2100"/>
  </r>
  <r>
    <x v="3"/>
    <n v="18"/>
    <x v="8"/>
    <n v="4"/>
    <n v="8"/>
    <n v="1520"/>
  </r>
  <r>
    <x v="3"/>
    <n v="19"/>
    <x v="9"/>
    <n v="5"/>
    <n v="33"/>
    <n v="4290"/>
  </r>
  <r>
    <x v="4"/>
    <n v="10"/>
    <x v="0"/>
    <n v="8"/>
    <n v="43"/>
    <n v="8600"/>
  </r>
  <r>
    <x v="4"/>
    <n v="11"/>
    <x v="1"/>
    <n v="7"/>
    <n v="32"/>
    <n v="4800"/>
  </r>
  <r>
    <x v="4"/>
    <n v="12"/>
    <x v="2"/>
    <n v="10"/>
    <n v="45"/>
    <n v="4500"/>
  </r>
  <r>
    <x v="4"/>
    <n v="13"/>
    <x v="3"/>
    <n v="6"/>
    <n v="38"/>
    <n v="1900"/>
  </r>
  <r>
    <x v="4"/>
    <n v="14"/>
    <x v="4"/>
    <n v="5"/>
    <n v="28"/>
    <n v="2240"/>
  </r>
  <r>
    <x v="4"/>
    <n v="15"/>
    <x v="5"/>
    <n v="4"/>
    <n v="10"/>
    <n v="1600"/>
  </r>
  <r>
    <x v="4"/>
    <n v="16"/>
    <x v="6"/>
    <n v="4"/>
    <n v="15"/>
    <n v="2700"/>
  </r>
  <r>
    <x v="4"/>
    <n v="17"/>
    <x v="7"/>
    <n v="6"/>
    <n v="20"/>
    <n v="2800"/>
  </r>
  <r>
    <x v="4"/>
    <n v="18"/>
    <x v="8"/>
    <n v="3"/>
    <n v="7"/>
    <n v="1330"/>
  </r>
  <r>
    <x v="4"/>
    <n v="19"/>
    <x v="9"/>
    <n v="6"/>
    <n v="37"/>
    <n v="4810"/>
  </r>
  <r>
    <x v="5"/>
    <n v="10"/>
    <x v="0"/>
    <n v="7"/>
    <n v="38"/>
    <n v="7600"/>
  </r>
  <r>
    <x v="5"/>
    <n v="11"/>
    <x v="1"/>
    <n v="7"/>
    <n v="33"/>
    <n v="4950"/>
  </r>
  <r>
    <x v="5"/>
    <n v="12"/>
    <x v="2"/>
    <n v="7"/>
    <n v="25"/>
    <n v="2500"/>
  </r>
  <r>
    <x v="5"/>
    <n v="13"/>
    <x v="3"/>
    <n v="5"/>
    <n v="30"/>
    <n v="1500"/>
  </r>
  <r>
    <x v="5"/>
    <n v="14"/>
    <x v="4"/>
    <n v="3"/>
    <n v="18"/>
    <n v="1440"/>
  </r>
  <r>
    <x v="5"/>
    <n v="15"/>
    <x v="5"/>
    <n v="3"/>
    <n v="8"/>
    <n v="1280"/>
  </r>
  <r>
    <x v="5"/>
    <n v="16"/>
    <x v="6"/>
    <n v="2"/>
    <n v="11"/>
    <n v="1980"/>
  </r>
  <r>
    <x v="5"/>
    <n v="17"/>
    <x v="7"/>
    <n v="5"/>
    <n v="15"/>
    <n v="2100"/>
  </r>
  <r>
    <x v="5"/>
    <n v="18"/>
    <x v="8"/>
    <n v="4"/>
    <n v="6"/>
    <n v="1140"/>
  </r>
  <r>
    <x v="5"/>
    <n v="19"/>
    <x v="9"/>
    <n v="5"/>
    <n v="24"/>
    <n v="3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882E5-8D7D-499E-A3E4-F5BC9669FD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3:O14" firstHeaderRow="1" firstDataRow="1" firstDataCol="1"/>
  <pivotFields count="6">
    <pivotField numFmtId="164" showAll="0">
      <items count="7">
        <item x="0"/>
        <item x="1"/>
        <item x="2"/>
        <item x="3"/>
        <item x="4"/>
        <item x="5"/>
        <item t="default"/>
      </items>
    </pivotField>
    <pivotField showAll="0"/>
    <pivotField axis="axisRow" showAll="0">
      <items count="11">
        <item x="9"/>
        <item x="0"/>
        <item x="4"/>
        <item x="3"/>
        <item x="2"/>
        <item x="1"/>
        <item x="7"/>
        <item x="5"/>
        <item x="6"/>
        <item x="8"/>
        <item t="default"/>
      </items>
    </pivotField>
    <pivotField dataField="1"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_CUSTOMERS" fld="3" baseField="0" baseItem="0"/>
  </dataFields>
  <chartFormats count="12">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 chart="5" format="18">
      <pivotArea type="data" outline="0" fieldPosition="0">
        <references count="2">
          <reference field="4294967294" count="1" selected="0">
            <x v="0"/>
          </reference>
          <reference field="2" count="1" selected="0">
            <x v="5"/>
          </reference>
        </references>
      </pivotArea>
    </chartFormat>
    <chartFormat chart="5" format="19">
      <pivotArea type="data" outline="0" fieldPosition="0">
        <references count="2">
          <reference field="4294967294" count="1" selected="0">
            <x v="0"/>
          </reference>
          <reference field="2" count="1" selected="0">
            <x v="6"/>
          </reference>
        </references>
      </pivotArea>
    </chartFormat>
    <chartFormat chart="5" format="20">
      <pivotArea type="data" outline="0" fieldPosition="0">
        <references count="2">
          <reference field="4294967294" count="1" selected="0">
            <x v="0"/>
          </reference>
          <reference field="2" count="1" selected="0">
            <x v="7"/>
          </reference>
        </references>
      </pivotArea>
    </chartFormat>
    <chartFormat chart="5" format="21">
      <pivotArea type="data" outline="0" fieldPosition="0">
        <references count="2">
          <reference field="4294967294" count="1" selected="0">
            <x v="0"/>
          </reference>
          <reference field="2" count="1" selected="0">
            <x v="8"/>
          </reference>
        </references>
      </pivotArea>
    </chartFormat>
    <chartFormat chart="5" format="2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EDBEA-CB12-49A1-8BF1-51F51382B6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4" firstHeaderRow="1" firstDataRow="1" firstDataCol="1"/>
  <pivotFields count="6">
    <pivotField numFmtId="164" showAll="0">
      <items count="7">
        <item x="0"/>
        <item x="1"/>
        <item x="2"/>
        <item x="3"/>
        <item x="4"/>
        <item x="5"/>
        <item t="default"/>
      </items>
    </pivotField>
    <pivotField showAll="0"/>
    <pivotField axis="axisRow" showAll="0">
      <items count="11">
        <item x="9"/>
        <item x="0"/>
        <item x="4"/>
        <item x="3"/>
        <item x="2"/>
        <item x="1"/>
        <item x="7"/>
        <item x="5"/>
        <item x="6"/>
        <item x="8"/>
        <item t="default"/>
      </items>
    </pivotField>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Sum of TOTAL_QUANTITY_SOLD" fld="4"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84EB66-D5B2-48D9-9596-EE6F660504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5:N27" firstHeaderRow="1" firstDataRow="1" firstDataCol="1"/>
  <pivotFields count="6">
    <pivotField numFmtId="164" showAll="0">
      <items count="7">
        <item x="0"/>
        <item x="1"/>
        <item x="2"/>
        <item x="3"/>
        <item x="4"/>
        <item x="5"/>
        <item t="default"/>
      </items>
    </pivotField>
    <pivotField showAll="0"/>
    <pivotField axis="axisRow" showAll="0" measureFilter="1">
      <items count="11">
        <item x="9"/>
        <item x="0"/>
        <item x="4"/>
        <item x="3"/>
        <item x="2"/>
        <item x="1"/>
        <item x="7"/>
        <item x="5"/>
        <item x="6"/>
        <item x="8"/>
        <item t="default"/>
      </items>
    </pivotField>
    <pivotField showAll="0"/>
    <pivotField showAll="0"/>
    <pivotField dataField="1" showAll="0"/>
  </pivotFields>
  <rowFields count="1">
    <field x="2"/>
  </rowFields>
  <rowItems count="2">
    <i>
      <x v="1"/>
    </i>
    <i t="grand">
      <x/>
    </i>
  </rowItems>
  <colItems count="1">
    <i/>
  </colItems>
  <dataFields count="1">
    <dataField name="Sum of TOTAL_REVENUE" fld="5" baseField="0" baseItem="0"/>
  </dataField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1D893-171B-450F-8AB1-5D99DA36A4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O20" firstHeaderRow="0" firstDataRow="1" firstDataCol="0"/>
  <pivotFields count="6">
    <pivotField numFmtId="164" showAll="0">
      <items count="7">
        <item x="0"/>
        <item x="1"/>
        <item x="2"/>
        <item x="3"/>
        <item x="4"/>
        <item x="5"/>
        <item t="default"/>
      </items>
    </pivotField>
    <pivotField showAll="0"/>
    <pivotField showAll="0">
      <items count="11">
        <item x="9"/>
        <item x="0"/>
        <item x="4"/>
        <item x="3"/>
        <item x="2"/>
        <item x="1"/>
        <item x="7"/>
        <item x="5"/>
        <item x="6"/>
        <item x="8"/>
        <item t="default"/>
      </items>
    </pivotField>
    <pivotField dataField="1" showAll="0"/>
    <pivotField dataField="1" showAll="0"/>
    <pivotField dataField="1" showAll="0"/>
  </pivotFields>
  <rowItems count="1">
    <i/>
  </rowItems>
  <colFields count="1">
    <field x="-2"/>
  </colFields>
  <colItems count="3">
    <i>
      <x/>
    </i>
    <i i="1">
      <x v="1"/>
    </i>
    <i i="2">
      <x v="2"/>
    </i>
  </colItems>
  <dataFields count="3">
    <dataField name="Sum of TOTAL_REVENUE" fld="5" baseField="0" baseItem="0" numFmtId="165"/>
    <dataField name="Sum of TOTAL_QUANTITY_SOLD" fld="4" baseField="0" baseItem="0"/>
    <dataField name="Sum of TOTAL_CUSTOMERS" fld="3" baseField="0" baseItem="0"/>
  </dataFields>
  <formats count="1">
    <format dxfId="6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B83B57-C6CE-4603-8769-87ED86462D1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7:B27" firstHeaderRow="1" firstDataRow="1" firstDataCol="1"/>
  <pivotFields count="6">
    <pivotField numFmtId="164" showAll="0">
      <items count="7">
        <item x="0"/>
        <item x="1"/>
        <item x="2"/>
        <item x="3"/>
        <item x="4"/>
        <item x="5"/>
        <item t="default"/>
      </items>
    </pivotField>
    <pivotField showAll="0"/>
    <pivotField axis="axisRow" showAll="0">
      <items count="11">
        <item x="9"/>
        <item x="0"/>
        <item x="4"/>
        <item x="3"/>
        <item x="2"/>
        <item x="1"/>
        <item x="7"/>
        <item x="5"/>
        <item x="6"/>
        <item x="8"/>
        <item t="default"/>
      </items>
    </pivotField>
    <pivotField showAll="0"/>
    <pivotField showAll="0"/>
    <pivotField dataField="1" showAll="0"/>
  </pivotFields>
  <rowFields count="1">
    <field x="2"/>
  </rowFields>
  <rowItems count="10">
    <i>
      <x/>
    </i>
    <i>
      <x v="1"/>
    </i>
    <i>
      <x v="2"/>
    </i>
    <i>
      <x v="3"/>
    </i>
    <i>
      <x v="4"/>
    </i>
    <i>
      <x v="5"/>
    </i>
    <i>
      <x v="6"/>
    </i>
    <i>
      <x v="7"/>
    </i>
    <i>
      <x v="8"/>
    </i>
    <i>
      <x v="9"/>
    </i>
  </rowItems>
  <colItems count="1">
    <i/>
  </colItems>
  <dataFields count="1">
    <dataField name="Sum of TOTAL_REVENUE" fld="5" baseField="0" baseItem="0"/>
  </dataFields>
  <formats count="15">
    <format dxfId="62">
      <pivotArea type="all" dataOnly="0" outline="0" fieldPosition="0"/>
    </format>
    <format dxfId="61">
      <pivotArea outline="0" collapsedLevelsAreSubtotals="1"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 xr10:uid="{BD049104-04EC-4BD5-BE0E-EB04A4CB8F98}" sourceName="SALES_DATE">
  <pivotTables>
    <pivotTable tabId="3" name="PivotTable2"/>
    <pivotTable tabId="3" name="PivotTable3"/>
    <pivotTable tabId="3" name="PivotTable4"/>
    <pivotTable tabId="3" name="PivotTable5"/>
    <pivotTable tabId="5" name="PivotTable1"/>
  </pivotTables>
  <data>
    <tabular pivotCacheId="2057313430">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UIT_NAME" xr10:uid="{E9D33707-F13F-4707-946A-5C9A9DCC2062}" sourceName="FRUIT_NAME">
  <pivotTables>
    <pivotTable tabId="3" name="PivotTable2"/>
    <pivotTable tabId="3" name="PivotTable3"/>
    <pivotTable tabId="3" name="PivotTable4"/>
    <pivotTable tabId="5" name="PivotTable1"/>
  </pivotTables>
  <data>
    <tabular pivotCacheId="2057313430">
      <items count="10">
        <i x="9" s="1"/>
        <i x="0" s="1"/>
        <i x="4" s="1"/>
        <i x="3" s="1"/>
        <i x="2" s="1"/>
        <i x="1" s="1"/>
        <i x="7" s="1"/>
        <i x="5"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DATE" xr10:uid="{D2E02134-479C-4803-9CCE-4BA873D5663D}" cache="Slicer_SALES_DATE" caption="SALES_DATE" columnCount="2" rowHeight="234950"/>
  <slicer name="FRUIT_NAME" xr10:uid="{D506B2B2-A1C9-47BD-9D47-8F0E9D2C812B}" cache="Slicer_FRUIT_NAME" caption="FRUIT_NA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1" displayName="sheet1" ref="A1:F61" totalsRowShown="0">
  <autoFilter ref="A1:F61" xr:uid="{00000000-0009-0000-0100-000001000000}"/>
  <tableColumns count="6">
    <tableColumn id="1" xr3:uid="{00000000-0010-0000-0000-000001000000}" name="SALES_DATE"/>
    <tableColumn id="2" xr3:uid="{00000000-0010-0000-0000-000002000000}" name="FRUIT_ID"/>
    <tableColumn id="3" xr3:uid="{00000000-0010-0000-0000-000003000000}" name="FRUIT_NAME"/>
    <tableColumn id="4" xr3:uid="{00000000-0010-0000-0000-000004000000}" name="TOTAL_CUSTOMERS"/>
    <tableColumn id="5" xr3:uid="{00000000-0010-0000-0000-000005000000}" name="TOTAL_QUANTITY_SOLD"/>
    <tableColumn id="6" xr3:uid="{00000000-0010-0000-0000-000006000000}" name="TOTAL_REVENUE"/>
  </tableColumns>
  <tableStyleInfo showFirstColumn="1" showLastColumn="1"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zoomScale="92" workbookViewId="0">
      <pane ySplit="1" topLeftCell="A2" activePane="bottomLeft" state="frozen"/>
      <selection pane="bottomLeft" activeCell="K13" sqref="K13"/>
    </sheetView>
  </sheetViews>
  <sheetFormatPr defaultRowHeight="14.4" x14ac:dyDescent="0.3"/>
  <cols>
    <col min="1" max="1" width="30.21875" bestFit="1" customWidth="1"/>
    <col min="2" max="2" width="14.77734375" bestFit="1" customWidth="1"/>
    <col min="3" max="3" width="18.33203125" bestFit="1" customWidth="1"/>
    <col min="4" max="4" width="23.109375" bestFit="1" customWidth="1"/>
    <col min="5" max="5" width="27.77734375" bestFit="1" customWidth="1"/>
    <col min="6" max="6" width="20.77734375" bestFit="1" customWidth="1"/>
  </cols>
  <sheetData>
    <row r="1" spans="1:6" ht="19.95" customHeight="1" x14ac:dyDescent="0.3">
      <c r="A1" s="1" t="s">
        <v>0</v>
      </c>
      <c r="B1" s="2" t="s">
        <v>1</v>
      </c>
      <c r="C1" s="1" t="s">
        <v>2</v>
      </c>
      <c r="D1" s="2" t="s">
        <v>3</v>
      </c>
      <c r="E1" s="2" t="s">
        <v>4</v>
      </c>
      <c r="F1" s="2" t="s">
        <v>5</v>
      </c>
    </row>
    <row r="2" spans="1:6" ht="19.95" customHeight="1" x14ac:dyDescent="0.3">
      <c r="A2" s="3">
        <v>45915</v>
      </c>
      <c r="B2" s="4">
        <v>10</v>
      </c>
      <c r="C2" s="5" t="s">
        <v>6</v>
      </c>
      <c r="D2" s="4">
        <v>11</v>
      </c>
      <c r="E2" s="4">
        <v>56</v>
      </c>
      <c r="F2" s="4">
        <v>11200</v>
      </c>
    </row>
    <row r="3" spans="1:6" ht="19.95" customHeight="1" x14ac:dyDescent="0.3">
      <c r="A3" s="3">
        <v>45915</v>
      </c>
      <c r="B3" s="4">
        <v>11</v>
      </c>
      <c r="C3" s="5" t="s">
        <v>7</v>
      </c>
      <c r="D3" s="4">
        <v>11</v>
      </c>
      <c r="E3" s="4">
        <v>44</v>
      </c>
      <c r="F3" s="4">
        <v>6600</v>
      </c>
    </row>
    <row r="4" spans="1:6" ht="19.95" customHeight="1" x14ac:dyDescent="0.3">
      <c r="A4" s="3">
        <v>45915</v>
      </c>
      <c r="B4" s="4">
        <v>12</v>
      </c>
      <c r="C4" s="5" t="s">
        <v>8</v>
      </c>
      <c r="D4" s="4">
        <v>11</v>
      </c>
      <c r="E4" s="4">
        <v>40</v>
      </c>
      <c r="F4" s="4">
        <v>4000</v>
      </c>
    </row>
    <row r="5" spans="1:6" ht="19.95" customHeight="1" x14ac:dyDescent="0.3">
      <c r="A5" s="3">
        <v>45915</v>
      </c>
      <c r="B5" s="4">
        <v>13</v>
      </c>
      <c r="C5" s="5" t="s">
        <v>9</v>
      </c>
      <c r="D5" s="4">
        <v>9</v>
      </c>
      <c r="E5" s="4">
        <v>50</v>
      </c>
      <c r="F5" s="4">
        <v>2500</v>
      </c>
    </row>
    <row r="6" spans="1:6" ht="19.95" customHeight="1" x14ac:dyDescent="0.3">
      <c r="A6" s="3">
        <v>45915</v>
      </c>
      <c r="B6" s="4">
        <v>14</v>
      </c>
      <c r="C6" s="5" t="s">
        <v>10</v>
      </c>
      <c r="D6" s="4">
        <v>5</v>
      </c>
      <c r="E6" s="4">
        <v>32</v>
      </c>
      <c r="F6" s="4">
        <v>2560</v>
      </c>
    </row>
    <row r="7" spans="1:6" ht="19.95" customHeight="1" x14ac:dyDescent="0.3">
      <c r="A7" s="3">
        <v>45915</v>
      </c>
      <c r="B7" s="4">
        <v>15</v>
      </c>
      <c r="C7" s="5" t="s">
        <v>11</v>
      </c>
      <c r="D7" s="4">
        <v>7</v>
      </c>
      <c r="E7" s="4">
        <v>18</v>
      </c>
      <c r="F7" s="4">
        <v>2880</v>
      </c>
    </row>
    <row r="8" spans="1:6" ht="19.95" customHeight="1" x14ac:dyDescent="0.3">
      <c r="A8" s="3">
        <v>45915</v>
      </c>
      <c r="B8" s="4">
        <v>16</v>
      </c>
      <c r="C8" s="5" t="s">
        <v>12</v>
      </c>
      <c r="D8" s="4">
        <v>4</v>
      </c>
      <c r="E8" s="4">
        <v>22</v>
      </c>
      <c r="F8" s="4">
        <v>3960</v>
      </c>
    </row>
    <row r="9" spans="1:6" ht="19.95" customHeight="1" x14ac:dyDescent="0.3">
      <c r="A9" s="3">
        <v>45915</v>
      </c>
      <c r="B9" s="4">
        <v>17</v>
      </c>
      <c r="C9" s="5" t="s">
        <v>13</v>
      </c>
      <c r="D9" s="4">
        <v>8</v>
      </c>
      <c r="E9" s="4">
        <v>24</v>
      </c>
      <c r="F9" s="4">
        <v>3360</v>
      </c>
    </row>
    <row r="10" spans="1:6" ht="19.95" customHeight="1" x14ac:dyDescent="0.3">
      <c r="A10" s="3">
        <v>45915</v>
      </c>
      <c r="B10" s="4">
        <v>18</v>
      </c>
      <c r="C10" s="5" t="s">
        <v>14</v>
      </c>
      <c r="D10" s="4">
        <v>6</v>
      </c>
      <c r="E10" s="4">
        <v>10</v>
      </c>
      <c r="F10" s="4">
        <v>1900</v>
      </c>
    </row>
    <row r="11" spans="1:6" ht="19.95" customHeight="1" x14ac:dyDescent="0.3">
      <c r="A11" s="3">
        <v>45915</v>
      </c>
      <c r="B11" s="4">
        <v>19</v>
      </c>
      <c r="C11" s="5" t="s">
        <v>15</v>
      </c>
      <c r="D11" s="4">
        <v>8</v>
      </c>
      <c r="E11" s="4">
        <v>44</v>
      </c>
      <c r="F11" s="4">
        <v>5720</v>
      </c>
    </row>
    <row r="12" spans="1:6" ht="19.95" customHeight="1" x14ac:dyDescent="0.3">
      <c r="A12" s="3">
        <v>45916</v>
      </c>
      <c r="B12" s="4">
        <v>10</v>
      </c>
      <c r="C12" s="5" t="s">
        <v>6</v>
      </c>
      <c r="D12" s="4">
        <v>5</v>
      </c>
      <c r="E12" s="4">
        <v>29</v>
      </c>
      <c r="F12" s="4">
        <v>5800</v>
      </c>
    </row>
    <row r="13" spans="1:6" ht="19.95" customHeight="1" x14ac:dyDescent="0.3">
      <c r="A13" s="3">
        <v>45916</v>
      </c>
      <c r="B13" s="4">
        <v>11</v>
      </c>
      <c r="C13" s="5" t="s">
        <v>7</v>
      </c>
      <c r="D13" s="4">
        <v>5</v>
      </c>
      <c r="E13" s="4">
        <v>23</v>
      </c>
      <c r="F13" s="4">
        <v>3450</v>
      </c>
    </row>
    <row r="14" spans="1:6" ht="19.95" customHeight="1" x14ac:dyDescent="0.3">
      <c r="A14" s="3">
        <v>45916</v>
      </c>
      <c r="B14" s="4">
        <v>12</v>
      </c>
      <c r="C14" s="5" t="s">
        <v>8</v>
      </c>
      <c r="D14" s="4">
        <v>7</v>
      </c>
      <c r="E14" s="4">
        <v>22</v>
      </c>
      <c r="F14" s="4">
        <v>2200</v>
      </c>
    </row>
    <row r="15" spans="1:6" ht="19.95" customHeight="1" x14ac:dyDescent="0.3">
      <c r="A15" s="3">
        <v>45916</v>
      </c>
      <c r="B15" s="4">
        <v>13</v>
      </c>
      <c r="C15" s="5" t="s">
        <v>9</v>
      </c>
      <c r="D15" s="4">
        <v>7</v>
      </c>
      <c r="E15" s="4">
        <v>43</v>
      </c>
      <c r="F15" s="4">
        <v>2150</v>
      </c>
    </row>
    <row r="16" spans="1:6" ht="19.95" customHeight="1" x14ac:dyDescent="0.3">
      <c r="A16" s="3">
        <v>45916</v>
      </c>
      <c r="B16" s="4">
        <v>14</v>
      </c>
      <c r="C16" s="5" t="s">
        <v>10</v>
      </c>
      <c r="D16" s="4">
        <v>4</v>
      </c>
      <c r="E16" s="4">
        <v>22</v>
      </c>
      <c r="F16" s="4">
        <v>1760</v>
      </c>
    </row>
    <row r="17" spans="1:6" ht="19.95" customHeight="1" x14ac:dyDescent="0.3">
      <c r="A17" s="3">
        <v>45916</v>
      </c>
      <c r="B17" s="4">
        <v>15</v>
      </c>
      <c r="C17" s="5" t="s">
        <v>11</v>
      </c>
      <c r="D17" s="4">
        <v>4</v>
      </c>
      <c r="E17" s="4">
        <v>14</v>
      </c>
      <c r="F17" s="4">
        <v>2240</v>
      </c>
    </row>
    <row r="18" spans="1:6" ht="19.95" customHeight="1" x14ac:dyDescent="0.3">
      <c r="A18" s="3">
        <v>45916</v>
      </c>
      <c r="B18" s="4">
        <v>16</v>
      </c>
      <c r="C18" s="5" t="s">
        <v>12</v>
      </c>
      <c r="D18" s="4">
        <v>3</v>
      </c>
      <c r="E18" s="4">
        <v>14</v>
      </c>
      <c r="F18" s="4">
        <v>2520</v>
      </c>
    </row>
    <row r="19" spans="1:6" ht="19.95" customHeight="1" x14ac:dyDescent="0.3">
      <c r="A19" s="3">
        <v>45916</v>
      </c>
      <c r="B19" s="4">
        <v>17</v>
      </c>
      <c r="C19" s="5" t="s">
        <v>13</v>
      </c>
      <c r="D19" s="4">
        <v>5</v>
      </c>
      <c r="E19" s="4">
        <v>15</v>
      </c>
      <c r="F19" s="4">
        <v>2100</v>
      </c>
    </row>
    <row r="20" spans="1:6" ht="19.95" customHeight="1" x14ac:dyDescent="0.3">
      <c r="A20" s="3">
        <v>45916</v>
      </c>
      <c r="B20" s="4">
        <v>18</v>
      </c>
      <c r="C20" s="5" t="s">
        <v>14</v>
      </c>
      <c r="D20" s="4">
        <v>3</v>
      </c>
      <c r="E20" s="4">
        <v>7</v>
      </c>
      <c r="F20" s="4">
        <v>1330</v>
      </c>
    </row>
    <row r="21" spans="1:6" ht="19.95" customHeight="1" x14ac:dyDescent="0.3">
      <c r="A21" s="3">
        <v>45916</v>
      </c>
      <c r="B21" s="4">
        <v>19</v>
      </c>
      <c r="C21" s="5" t="s">
        <v>15</v>
      </c>
      <c r="D21" s="4">
        <v>4</v>
      </c>
      <c r="E21" s="4">
        <v>31</v>
      </c>
      <c r="F21" s="4">
        <v>4030</v>
      </c>
    </row>
    <row r="22" spans="1:6" ht="19.95" customHeight="1" x14ac:dyDescent="0.3">
      <c r="A22" s="3">
        <v>45917</v>
      </c>
      <c r="B22" s="4">
        <v>10</v>
      </c>
      <c r="C22" s="5" t="s">
        <v>6</v>
      </c>
      <c r="D22" s="4">
        <v>5</v>
      </c>
      <c r="E22" s="4">
        <v>27</v>
      </c>
      <c r="F22" s="4">
        <v>5400</v>
      </c>
    </row>
    <row r="23" spans="1:6" ht="19.95" customHeight="1" x14ac:dyDescent="0.3">
      <c r="A23" s="3">
        <v>45917</v>
      </c>
      <c r="B23" s="4">
        <v>11</v>
      </c>
      <c r="C23" s="5" t="s">
        <v>7</v>
      </c>
      <c r="D23" s="4">
        <v>5</v>
      </c>
      <c r="E23" s="4">
        <v>26</v>
      </c>
      <c r="F23" s="4">
        <v>3900</v>
      </c>
    </row>
    <row r="24" spans="1:6" ht="19.95" customHeight="1" x14ac:dyDescent="0.3">
      <c r="A24" s="3">
        <v>45917</v>
      </c>
      <c r="B24" s="4">
        <v>12</v>
      </c>
      <c r="C24" s="5" t="s">
        <v>8</v>
      </c>
      <c r="D24" s="4">
        <v>8</v>
      </c>
      <c r="E24" s="4">
        <v>28</v>
      </c>
      <c r="F24" s="4">
        <v>2800</v>
      </c>
    </row>
    <row r="25" spans="1:6" ht="19.95" customHeight="1" x14ac:dyDescent="0.3">
      <c r="A25" s="3">
        <v>45917</v>
      </c>
      <c r="B25" s="4">
        <v>13</v>
      </c>
      <c r="C25" s="5" t="s">
        <v>9</v>
      </c>
      <c r="D25" s="4">
        <v>6</v>
      </c>
      <c r="E25" s="4">
        <v>46</v>
      </c>
      <c r="F25" s="4">
        <v>2300</v>
      </c>
    </row>
    <row r="26" spans="1:6" ht="19.95" customHeight="1" x14ac:dyDescent="0.3">
      <c r="A26" s="3">
        <v>45917</v>
      </c>
      <c r="B26" s="4">
        <v>14</v>
      </c>
      <c r="C26" s="5" t="s">
        <v>10</v>
      </c>
      <c r="D26" s="4">
        <v>5</v>
      </c>
      <c r="E26" s="4">
        <v>27</v>
      </c>
      <c r="F26" s="4">
        <v>2160</v>
      </c>
    </row>
    <row r="27" spans="1:6" ht="19.95" customHeight="1" x14ac:dyDescent="0.3">
      <c r="A27" s="3">
        <v>45917</v>
      </c>
      <c r="B27" s="4">
        <v>15</v>
      </c>
      <c r="C27" s="5" t="s">
        <v>11</v>
      </c>
      <c r="D27" s="4">
        <v>4</v>
      </c>
      <c r="E27" s="4">
        <v>16</v>
      </c>
      <c r="F27" s="4">
        <v>2560</v>
      </c>
    </row>
    <row r="28" spans="1:6" ht="19.95" customHeight="1" x14ac:dyDescent="0.3">
      <c r="A28" s="3">
        <v>45917</v>
      </c>
      <c r="B28" s="4">
        <v>16</v>
      </c>
      <c r="C28" s="5" t="s">
        <v>12</v>
      </c>
      <c r="D28" s="4">
        <v>2</v>
      </c>
      <c r="E28" s="4">
        <v>7</v>
      </c>
      <c r="F28" s="4">
        <v>1260</v>
      </c>
    </row>
    <row r="29" spans="1:6" ht="19.95" customHeight="1" x14ac:dyDescent="0.3">
      <c r="A29" s="3">
        <v>45917</v>
      </c>
      <c r="B29" s="4">
        <v>17</v>
      </c>
      <c r="C29" s="5" t="s">
        <v>13</v>
      </c>
      <c r="D29" s="4">
        <v>3</v>
      </c>
      <c r="E29" s="4">
        <v>10</v>
      </c>
      <c r="F29" s="4">
        <v>1400</v>
      </c>
    </row>
    <row r="30" spans="1:6" ht="19.95" customHeight="1" x14ac:dyDescent="0.3">
      <c r="A30" s="3">
        <v>45917</v>
      </c>
      <c r="B30" s="4">
        <v>18</v>
      </c>
      <c r="C30" s="5" t="s">
        <v>14</v>
      </c>
      <c r="D30" s="4">
        <v>4</v>
      </c>
      <c r="E30" s="4">
        <v>10</v>
      </c>
      <c r="F30" s="4">
        <v>1900</v>
      </c>
    </row>
    <row r="31" spans="1:6" ht="19.95" customHeight="1" x14ac:dyDescent="0.3">
      <c r="A31" s="3">
        <v>45917</v>
      </c>
      <c r="B31" s="4">
        <v>19</v>
      </c>
      <c r="C31" s="5" t="s">
        <v>15</v>
      </c>
      <c r="D31" s="4">
        <v>5</v>
      </c>
      <c r="E31" s="4">
        <v>29</v>
      </c>
      <c r="F31" s="4">
        <v>3770</v>
      </c>
    </row>
    <row r="32" spans="1:6" ht="19.95" customHeight="1" x14ac:dyDescent="0.3">
      <c r="A32" s="3">
        <v>45918</v>
      </c>
      <c r="B32" s="4">
        <v>10</v>
      </c>
      <c r="C32" s="5" t="s">
        <v>6</v>
      </c>
      <c r="D32" s="4">
        <v>6</v>
      </c>
      <c r="E32" s="4">
        <v>31</v>
      </c>
      <c r="F32" s="4">
        <v>6200</v>
      </c>
    </row>
    <row r="33" spans="1:6" ht="19.95" customHeight="1" x14ac:dyDescent="0.3">
      <c r="A33" s="3">
        <v>45918</v>
      </c>
      <c r="B33" s="4">
        <v>11</v>
      </c>
      <c r="C33" s="5" t="s">
        <v>7</v>
      </c>
      <c r="D33" s="4">
        <v>6</v>
      </c>
      <c r="E33" s="4">
        <v>24</v>
      </c>
      <c r="F33" s="4">
        <v>3600</v>
      </c>
    </row>
    <row r="34" spans="1:6" ht="19.95" customHeight="1" x14ac:dyDescent="0.3">
      <c r="A34" s="3">
        <v>45918</v>
      </c>
      <c r="B34" s="4">
        <v>12</v>
      </c>
      <c r="C34" s="5" t="s">
        <v>8</v>
      </c>
      <c r="D34" s="4">
        <v>7</v>
      </c>
      <c r="E34" s="4">
        <v>25</v>
      </c>
      <c r="F34" s="4">
        <v>2500</v>
      </c>
    </row>
    <row r="35" spans="1:6" ht="19.95" customHeight="1" x14ac:dyDescent="0.3">
      <c r="A35" s="3">
        <v>45918</v>
      </c>
      <c r="B35" s="4">
        <v>13</v>
      </c>
      <c r="C35" s="5" t="s">
        <v>9</v>
      </c>
      <c r="D35" s="4">
        <v>6</v>
      </c>
      <c r="E35" s="4">
        <v>33</v>
      </c>
      <c r="F35" s="4">
        <v>1650</v>
      </c>
    </row>
    <row r="36" spans="1:6" ht="19.95" customHeight="1" x14ac:dyDescent="0.3">
      <c r="A36" s="3">
        <v>45918</v>
      </c>
      <c r="B36" s="4">
        <v>14</v>
      </c>
      <c r="C36" s="5" t="s">
        <v>10</v>
      </c>
      <c r="D36" s="4">
        <v>3</v>
      </c>
      <c r="E36" s="4">
        <v>18</v>
      </c>
      <c r="F36" s="4">
        <v>1440</v>
      </c>
    </row>
    <row r="37" spans="1:6" ht="19.95" customHeight="1" x14ac:dyDescent="0.3">
      <c r="A37" s="3">
        <v>45918</v>
      </c>
      <c r="B37" s="4">
        <v>15</v>
      </c>
      <c r="C37" s="5" t="s">
        <v>11</v>
      </c>
      <c r="D37" s="4">
        <v>5</v>
      </c>
      <c r="E37" s="4">
        <v>15</v>
      </c>
      <c r="F37" s="4">
        <v>2400</v>
      </c>
    </row>
    <row r="38" spans="1:6" ht="19.95" customHeight="1" x14ac:dyDescent="0.3">
      <c r="A38" s="3">
        <v>45918</v>
      </c>
      <c r="B38" s="4">
        <v>16</v>
      </c>
      <c r="C38" s="5" t="s">
        <v>12</v>
      </c>
      <c r="D38" s="4">
        <v>3</v>
      </c>
      <c r="E38" s="4">
        <v>14</v>
      </c>
      <c r="F38" s="4">
        <v>2520</v>
      </c>
    </row>
    <row r="39" spans="1:6" ht="19.95" customHeight="1" x14ac:dyDescent="0.3">
      <c r="A39" s="3">
        <v>45918</v>
      </c>
      <c r="B39" s="4">
        <v>17</v>
      </c>
      <c r="C39" s="5" t="s">
        <v>13</v>
      </c>
      <c r="D39" s="4">
        <v>5</v>
      </c>
      <c r="E39" s="4">
        <v>15</v>
      </c>
      <c r="F39" s="4">
        <v>2100</v>
      </c>
    </row>
    <row r="40" spans="1:6" ht="19.95" customHeight="1" x14ac:dyDescent="0.3">
      <c r="A40" s="3">
        <v>45918</v>
      </c>
      <c r="B40" s="4">
        <v>18</v>
      </c>
      <c r="C40" s="5" t="s">
        <v>14</v>
      </c>
      <c r="D40" s="4">
        <v>4</v>
      </c>
      <c r="E40" s="4">
        <v>8</v>
      </c>
      <c r="F40" s="4">
        <v>1520</v>
      </c>
    </row>
    <row r="41" spans="1:6" ht="19.95" customHeight="1" x14ac:dyDescent="0.3">
      <c r="A41" s="3">
        <v>45918</v>
      </c>
      <c r="B41" s="4">
        <v>19</v>
      </c>
      <c r="C41" s="5" t="s">
        <v>15</v>
      </c>
      <c r="D41" s="4">
        <v>5</v>
      </c>
      <c r="E41" s="4">
        <v>33</v>
      </c>
      <c r="F41" s="4">
        <v>4290</v>
      </c>
    </row>
    <row r="42" spans="1:6" ht="19.95" customHeight="1" x14ac:dyDescent="0.3">
      <c r="A42" s="3">
        <v>45919</v>
      </c>
      <c r="B42" s="4">
        <v>10</v>
      </c>
      <c r="C42" s="5" t="s">
        <v>6</v>
      </c>
      <c r="D42" s="4">
        <v>8</v>
      </c>
      <c r="E42" s="4">
        <v>43</v>
      </c>
      <c r="F42" s="4">
        <v>8600</v>
      </c>
    </row>
    <row r="43" spans="1:6" ht="19.95" customHeight="1" x14ac:dyDescent="0.3">
      <c r="A43" s="3">
        <v>45919</v>
      </c>
      <c r="B43" s="4">
        <v>11</v>
      </c>
      <c r="C43" s="5" t="s">
        <v>7</v>
      </c>
      <c r="D43" s="4">
        <v>7</v>
      </c>
      <c r="E43" s="4">
        <v>32</v>
      </c>
      <c r="F43" s="4">
        <v>4800</v>
      </c>
    </row>
    <row r="44" spans="1:6" ht="19.95" customHeight="1" x14ac:dyDescent="0.3">
      <c r="A44" s="3">
        <v>45919</v>
      </c>
      <c r="B44" s="4">
        <v>12</v>
      </c>
      <c r="C44" s="5" t="s">
        <v>8</v>
      </c>
      <c r="D44" s="4">
        <v>10</v>
      </c>
      <c r="E44" s="4">
        <v>45</v>
      </c>
      <c r="F44" s="4">
        <v>4500</v>
      </c>
    </row>
    <row r="45" spans="1:6" ht="19.95" customHeight="1" x14ac:dyDescent="0.3">
      <c r="A45" s="3">
        <v>45919</v>
      </c>
      <c r="B45" s="4">
        <v>13</v>
      </c>
      <c r="C45" s="5" t="s">
        <v>9</v>
      </c>
      <c r="D45" s="4">
        <v>6</v>
      </c>
      <c r="E45" s="4">
        <v>38</v>
      </c>
      <c r="F45" s="4">
        <v>1900</v>
      </c>
    </row>
    <row r="46" spans="1:6" ht="19.95" customHeight="1" x14ac:dyDescent="0.3">
      <c r="A46" s="3">
        <v>45919</v>
      </c>
      <c r="B46" s="4">
        <v>14</v>
      </c>
      <c r="C46" s="5" t="s">
        <v>10</v>
      </c>
      <c r="D46" s="4">
        <v>5</v>
      </c>
      <c r="E46" s="4">
        <v>28</v>
      </c>
      <c r="F46" s="4">
        <v>2240</v>
      </c>
    </row>
    <row r="47" spans="1:6" ht="19.95" customHeight="1" x14ac:dyDescent="0.3">
      <c r="A47" s="3">
        <v>45919</v>
      </c>
      <c r="B47" s="4">
        <v>15</v>
      </c>
      <c r="C47" s="5" t="s">
        <v>11</v>
      </c>
      <c r="D47" s="4">
        <v>4</v>
      </c>
      <c r="E47" s="4">
        <v>10</v>
      </c>
      <c r="F47" s="4">
        <v>1600</v>
      </c>
    </row>
    <row r="48" spans="1:6" ht="19.95" customHeight="1" x14ac:dyDescent="0.3">
      <c r="A48" s="3">
        <v>45919</v>
      </c>
      <c r="B48" s="4">
        <v>16</v>
      </c>
      <c r="C48" s="5" t="s">
        <v>12</v>
      </c>
      <c r="D48" s="4">
        <v>4</v>
      </c>
      <c r="E48" s="4">
        <v>15</v>
      </c>
      <c r="F48" s="4">
        <v>2700</v>
      </c>
    </row>
    <row r="49" spans="1:6" ht="19.95" customHeight="1" x14ac:dyDescent="0.3">
      <c r="A49" s="3">
        <v>45919</v>
      </c>
      <c r="B49" s="4">
        <v>17</v>
      </c>
      <c r="C49" s="5" t="s">
        <v>13</v>
      </c>
      <c r="D49" s="4">
        <v>6</v>
      </c>
      <c r="E49" s="4">
        <v>20</v>
      </c>
      <c r="F49" s="4">
        <v>2800</v>
      </c>
    </row>
    <row r="50" spans="1:6" ht="19.95" customHeight="1" x14ac:dyDescent="0.3">
      <c r="A50" s="3">
        <v>45919</v>
      </c>
      <c r="B50" s="4">
        <v>18</v>
      </c>
      <c r="C50" s="5" t="s">
        <v>14</v>
      </c>
      <c r="D50" s="4">
        <v>3</v>
      </c>
      <c r="E50" s="4">
        <v>7</v>
      </c>
      <c r="F50" s="4">
        <v>1330</v>
      </c>
    </row>
    <row r="51" spans="1:6" ht="19.95" customHeight="1" x14ac:dyDescent="0.3">
      <c r="A51" s="3">
        <v>45919</v>
      </c>
      <c r="B51" s="4">
        <v>19</v>
      </c>
      <c r="C51" s="5" t="s">
        <v>15</v>
      </c>
      <c r="D51" s="4">
        <v>6</v>
      </c>
      <c r="E51" s="4">
        <v>37</v>
      </c>
      <c r="F51" s="4">
        <v>4810</v>
      </c>
    </row>
    <row r="52" spans="1:6" ht="19.95" customHeight="1" x14ac:dyDescent="0.3">
      <c r="A52" s="3">
        <v>45920</v>
      </c>
      <c r="B52" s="4">
        <v>10</v>
      </c>
      <c r="C52" s="5" t="s">
        <v>6</v>
      </c>
      <c r="D52" s="4">
        <v>7</v>
      </c>
      <c r="E52" s="4">
        <v>38</v>
      </c>
      <c r="F52" s="4">
        <v>7600</v>
      </c>
    </row>
    <row r="53" spans="1:6" ht="19.95" customHeight="1" x14ac:dyDescent="0.3">
      <c r="A53" s="3">
        <v>45920</v>
      </c>
      <c r="B53" s="4">
        <v>11</v>
      </c>
      <c r="C53" s="5" t="s">
        <v>7</v>
      </c>
      <c r="D53" s="4">
        <v>7</v>
      </c>
      <c r="E53" s="4">
        <v>33</v>
      </c>
      <c r="F53" s="4">
        <v>4950</v>
      </c>
    </row>
    <row r="54" spans="1:6" ht="19.95" customHeight="1" x14ac:dyDescent="0.3">
      <c r="A54" s="3">
        <v>45920</v>
      </c>
      <c r="B54" s="4">
        <v>12</v>
      </c>
      <c r="C54" s="5" t="s">
        <v>8</v>
      </c>
      <c r="D54" s="4">
        <v>7</v>
      </c>
      <c r="E54" s="4">
        <v>25</v>
      </c>
      <c r="F54" s="4">
        <v>2500</v>
      </c>
    </row>
    <row r="55" spans="1:6" ht="19.95" customHeight="1" x14ac:dyDescent="0.3">
      <c r="A55" s="3">
        <v>45920</v>
      </c>
      <c r="B55" s="4">
        <v>13</v>
      </c>
      <c r="C55" s="5" t="s">
        <v>9</v>
      </c>
      <c r="D55" s="4">
        <v>5</v>
      </c>
      <c r="E55" s="4">
        <v>30</v>
      </c>
      <c r="F55" s="4">
        <v>1500</v>
      </c>
    </row>
    <row r="56" spans="1:6" ht="19.95" customHeight="1" x14ac:dyDescent="0.3">
      <c r="A56" s="3">
        <v>45920</v>
      </c>
      <c r="B56" s="4">
        <v>14</v>
      </c>
      <c r="C56" s="5" t="s">
        <v>10</v>
      </c>
      <c r="D56" s="4">
        <v>3</v>
      </c>
      <c r="E56" s="4">
        <v>18</v>
      </c>
      <c r="F56" s="4">
        <v>1440</v>
      </c>
    </row>
    <row r="57" spans="1:6" ht="19.95" customHeight="1" x14ac:dyDescent="0.3">
      <c r="A57" s="3">
        <v>45920</v>
      </c>
      <c r="B57" s="4">
        <v>15</v>
      </c>
      <c r="C57" s="5" t="s">
        <v>11</v>
      </c>
      <c r="D57" s="4">
        <v>3</v>
      </c>
      <c r="E57" s="4">
        <v>8</v>
      </c>
      <c r="F57" s="4">
        <v>1280</v>
      </c>
    </row>
    <row r="58" spans="1:6" ht="19.95" customHeight="1" x14ac:dyDescent="0.3">
      <c r="A58" s="3">
        <v>45920</v>
      </c>
      <c r="B58" s="4">
        <v>16</v>
      </c>
      <c r="C58" s="5" t="s">
        <v>12</v>
      </c>
      <c r="D58" s="4">
        <v>2</v>
      </c>
      <c r="E58" s="4">
        <v>11</v>
      </c>
      <c r="F58" s="4">
        <v>1980</v>
      </c>
    </row>
    <row r="59" spans="1:6" ht="19.95" customHeight="1" x14ac:dyDescent="0.3">
      <c r="A59" s="3">
        <v>45920</v>
      </c>
      <c r="B59" s="4">
        <v>17</v>
      </c>
      <c r="C59" s="5" t="s">
        <v>13</v>
      </c>
      <c r="D59" s="4">
        <v>5</v>
      </c>
      <c r="E59" s="4">
        <v>15</v>
      </c>
      <c r="F59" s="4">
        <v>2100</v>
      </c>
    </row>
    <row r="60" spans="1:6" ht="19.95" customHeight="1" x14ac:dyDescent="0.3">
      <c r="A60" s="3">
        <v>45920</v>
      </c>
      <c r="B60" s="4">
        <v>18</v>
      </c>
      <c r="C60" s="5" t="s">
        <v>14</v>
      </c>
      <c r="D60" s="4">
        <v>4</v>
      </c>
      <c r="E60" s="4">
        <v>6</v>
      </c>
      <c r="F60" s="4">
        <v>1140</v>
      </c>
    </row>
    <row r="61" spans="1:6" ht="19.95" customHeight="1" x14ac:dyDescent="0.3">
      <c r="A61" s="3">
        <v>45920</v>
      </c>
      <c r="B61" s="4">
        <v>19</v>
      </c>
      <c r="C61" s="5" t="s">
        <v>15</v>
      </c>
      <c r="D61" s="4">
        <v>5</v>
      </c>
      <c r="E61" s="4">
        <v>24</v>
      </c>
      <c r="F61" s="4">
        <v>3120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B444-E094-4AD3-8331-3311FC37B0EE}">
  <dimension ref="G3:O27"/>
  <sheetViews>
    <sheetView zoomScale="64" workbookViewId="0">
      <selection activeCell="M26" sqref="M26"/>
    </sheetView>
  </sheetViews>
  <sheetFormatPr defaultRowHeight="14.4" x14ac:dyDescent="0.3"/>
  <cols>
    <col min="1" max="1" width="19.21875" bestFit="1" customWidth="1"/>
    <col min="2" max="2" width="32.109375" bestFit="1" customWidth="1"/>
    <col min="7" max="7" width="15" bestFit="1" customWidth="1"/>
    <col min="8" max="8" width="29.77734375" bestFit="1" customWidth="1"/>
    <col min="13" max="13" width="14.33203125" bestFit="1" customWidth="1"/>
    <col min="14" max="14" width="23.21875" bestFit="1" customWidth="1"/>
    <col min="15" max="15" width="25.77734375" bestFit="1" customWidth="1"/>
  </cols>
  <sheetData>
    <row r="3" spans="7:15" x14ac:dyDescent="0.3">
      <c r="G3" s="6" t="s">
        <v>16</v>
      </c>
      <c r="H3" t="s">
        <v>19</v>
      </c>
      <c r="N3" s="6" t="s">
        <v>16</v>
      </c>
      <c r="O3" t="s">
        <v>20</v>
      </c>
    </row>
    <row r="4" spans="7:15" x14ac:dyDescent="0.3">
      <c r="G4" s="7" t="s">
        <v>15</v>
      </c>
      <c r="H4" s="37">
        <v>198</v>
      </c>
      <c r="N4" s="7" t="s">
        <v>15</v>
      </c>
      <c r="O4" s="37">
        <v>33</v>
      </c>
    </row>
    <row r="5" spans="7:15" x14ac:dyDescent="0.3">
      <c r="G5" s="7" t="s">
        <v>6</v>
      </c>
      <c r="H5" s="37">
        <v>224</v>
      </c>
      <c r="N5" s="7" t="s">
        <v>6</v>
      </c>
      <c r="O5" s="37">
        <v>42</v>
      </c>
    </row>
    <row r="6" spans="7:15" x14ac:dyDescent="0.3">
      <c r="G6" s="7" t="s">
        <v>10</v>
      </c>
      <c r="H6" s="37">
        <v>145</v>
      </c>
      <c r="N6" s="7" t="s">
        <v>10</v>
      </c>
      <c r="O6" s="37">
        <v>25</v>
      </c>
    </row>
    <row r="7" spans="7:15" x14ac:dyDescent="0.3">
      <c r="G7" s="7" t="s">
        <v>9</v>
      </c>
      <c r="H7" s="37">
        <v>240</v>
      </c>
      <c r="N7" s="7" t="s">
        <v>9</v>
      </c>
      <c r="O7" s="37">
        <v>39</v>
      </c>
    </row>
    <row r="8" spans="7:15" x14ac:dyDescent="0.3">
      <c r="G8" s="7" t="s">
        <v>8</v>
      </c>
      <c r="H8" s="37">
        <v>185</v>
      </c>
      <c r="N8" s="7" t="s">
        <v>8</v>
      </c>
      <c r="O8" s="37">
        <v>50</v>
      </c>
    </row>
    <row r="9" spans="7:15" x14ac:dyDescent="0.3">
      <c r="G9" s="7" t="s">
        <v>7</v>
      </c>
      <c r="H9" s="37">
        <v>182</v>
      </c>
      <c r="N9" s="7" t="s">
        <v>7</v>
      </c>
      <c r="O9" s="37">
        <v>41</v>
      </c>
    </row>
    <row r="10" spans="7:15" x14ac:dyDescent="0.3">
      <c r="G10" s="7" t="s">
        <v>13</v>
      </c>
      <c r="H10" s="37">
        <v>99</v>
      </c>
      <c r="N10" s="7" t="s">
        <v>13</v>
      </c>
      <c r="O10" s="37">
        <v>32</v>
      </c>
    </row>
    <row r="11" spans="7:15" x14ac:dyDescent="0.3">
      <c r="G11" s="7" t="s">
        <v>11</v>
      </c>
      <c r="H11" s="37">
        <v>81</v>
      </c>
      <c r="N11" s="7" t="s">
        <v>11</v>
      </c>
      <c r="O11" s="37">
        <v>27</v>
      </c>
    </row>
    <row r="12" spans="7:15" x14ac:dyDescent="0.3">
      <c r="G12" s="7" t="s">
        <v>12</v>
      </c>
      <c r="H12" s="37">
        <v>83</v>
      </c>
      <c r="N12" s="7" t="s">
        <v>12</v>
      </c>
      <c r="O12" s="37">
        <v>18</v>
      </c>
    </row>
    <row r="13" spans="7:15" x14ac:dyDescent="0.3">
      <c r="G13" s="7" t="s">
        <v>14</v>
      </c>
      <c r="H13" s="37">
        <v>48</v>
      </c>
      <c r="N13" s="7" t="s">
        <v>14</v>
      </c>
      <c r="O13" s="37">
        <v>24</v>
      </c>
    </row>
    <row r="14" spans="7:15" x14ac:dyDescent="0.3">
      <c r="G14" s="7" t="s">
        <v>17</v>
      </c>
      <c r="H14" s="37">
        <v>1485</v>
      </c>
      <c r="N14" s="7" t="s">
        <v>17</v>
      </c>
      <c r="O14" s="37">
        <v>331</v>
      </c>
    </row>
    <row r="19" spans="13:15" x14ac:dyDescent="0.3">
      <c r="M19" t="s">
        <v>18</v>
      </c>
      <c r="N19" t="s">
        <v>19</v>
      </c>
      <c r="O19" t="s">
        <v>20</v>
      </c>
    </row>
    <row r="20" spans="13:15" x14ac:dyDescent="0.3">
      <c r="M20" s="9">
        <v>190820</v>
      </c>
      <c r="N20" s="37">
        <v>1485</v>
      </c>
      <c r="O20" s="37">
        <v>331</v>
      </c>
    </row>
    <row r="25" spans="13:15" x14ac:dyDescent="0.3">
      <c r="M25" s="6" t="s">
        <v>16</v>
      </c>
      <c r="N25" t="s">
        <v>18</v>
      </c>
    </row>
    <row r="26" spans="13:15" x14ac:dyDescent="0.3">
      <c r="M26" s="7" t="s">
        <v>6</v>
      </c>
      <c r="N26" s="37">
        <v>44800</v>
      </c>
    </row>
    <row r="27" spans="13:15" x14ac:dyDescent="0.3">
      <c r="M27" s="7" t="s">
        <v>17</v>
      </c>
      <c r="N27" s="37">
        <v>44800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10E6-1A01-4F49-B642-4F73F88BD39B}">
  <dimension ref="A1:AG68"/>
  <sheetViews>
    <sheetView showGridLines="0" tabSelected="1" zoomScale="40" zoomScaleNormal="40" workbookViewId="0">
      <selection activeCell="AA20" sqref="AA20"/>
    </sheetView>
  </sheetViews>
  <sheetFormatPr defaultRowHeight="14.4" x14ac:dyDescent="0.3"/>
  <cols>
    <col min="1" max="1" width="22.33203125" bestFit="1" customWidth="1"/>
    <col min="2" max="2" width="37.33203125" bestFit="1" customWidth="1"/>
    <col min="4" max="4" width="42.33203125" customWidth="1"/>
    <col min="6" max="6" width="39.5546875" customWidth="1"/>
    <col min="11" max="11" width="13" customWidth="1"/>
    <col min="20" max="20" width="10" bestFit="1" customWidth="1"/>
    <col min="26" max="26" width="35.44140625" customWidth="1"/>
    <col min="27" max="27" width="61.21875" customWidth="1"/>
  </cols>
  <sheetData>
    <row r="1" spans="1:25" ht="15" thickBot="1" x14ac:dyDescent="0.35">
      <c r="A1" s="10"/>
      <c r="B1" s="11"/>
      <c r="C1" s="11"/>
      <c r="D1" s="11"/>
      <c r="E1" s="11"/>
      <c r="F1" s="11"/>
      <c r="G1" s="11"/>
      <c r="H1" s="11"/>
      <c r="I1" s="11"/>
      <c r="J1" s="11"/>
      <c r="K1" s="11"/>
      <c r="L1" s="11"/>
      <c r="M1" s="11"/>
      <c r="N1" s="11"/>
      <c r="O1" s="11"/>
      <c r="P1" s="11"/>
      <c r="Q1" s="11"/>
      <c r="R1" s="11"/>
      <c r="S1" s="11"/>
      <c r="T1" s="11"/>
      <c r="U1" s="11"/>
      <c r="V1" s="11"/>
      <c r="W1" s="11"/>
      <c r="X1" s="11"/>
      <c r="Y1" s="12"/>
    </row>
    <row r="2" spans="1:25" ht="60.6" thickBot="1" x14ac:dyDescent="1">
      <c r="A2" s="13"/>
      <c r="B2" s="14"/>
      <c r="C2" s="26"/>
      <c r="D2" s="27" t="s">
        <v>21</v>
      </c>
      <c r="E2" s="28"/>
      <c r="F2" s="28"/>
      <c r="G2" s="28"/>
      <c r="H2" s="28"/>
      <c r="I2" s="28"/>
      <c r="J2" s="28"/>
      <c r="K2" s="28"/>
      <c r="L2" s="28"/>
      <c r="M2" s="28"/>
      <c r="N2" s="28"/>
      <c r="O2" s="28"/>
      <c r="P2" s="28"/>
      <c r="Q2" s="28"/>
      <c r="R2" s="28"/>
      <c r="S2" s="28"/>
      <c r="T2" s="28"/>
      <c r="U2" s="29"/>
      <c r="V2" s="14"/>
      <c r="W2" s="14"/>
      <c r="X2" s="14"/>
      <c r="Y2" s="15"/>
    </row>
    <row r="3" spans="1:25" x14ac:dyDescent="0.3">
      <c r="A3" s="30"/>
      <c r="B3" s="31"/>
      <c r="C3" s="31"/>
      <c r="D3" s="31"/>
      <c r="E3" s="31"/>
      <c r="F3" s="31"/>
      <c r="G3" s="31"/>
      <c r="H3" s="31"/>
      <c r="I3" s="31"/>
      <c r="J3" s="31"/>
      <c r="K3" s="31"/>
      <c r="L3" s="31"/>
      <c r="M3" s="31"/>
      <c r="N3" s="31"/>
      <c r="O3" s="31"/>
      <c r="P3" s="31"/>
      <c r="Q3" s="31"/>
      <c r="R3" s="31"/>
      <c r="S3" s="31"/>
      <c r="T3" s="31"/>
      <c r="U3" s="31"/>
      <c r="V3" s="31"/>
      <c r="W3" s="31"/>
      <c r="X3" s="31"/>
      <c r="Y3" s="32"/>
    </row>
    <row r="4" spans="1:25" ht="15" thickBot="1" x14ac:dyDescent="0.35">
      <c r="A4" s="30"/>
      <c r="B4" s="31"/>
      <c r="C4" s="31"/>
      <c r="D4" s="31"/>
      <c r="E4" s="31"/>
      <c r="F4" s="31"/>
      <c r="G4" s="31"/>
      <c r="H4" s="31"/>
      <c r="I4" s="31"/>
      <c r="J4" s="31"/>
      <c r="K4" s="31"/>
      <c r="L4" s="31"/>
      <c r="M4" s="31"/>
      <c r="N4" s="31"/>
      <c r="O4" s="31"/>
      <c r="P4" s="31"/>
      <c r="Q4" s="31"/>
      <c r="R4" s="31"/>
      <c r="S4" s="31"/>
      <c r="T4" s="31"/>
      <c r="U4" s="31"/>
      <c r="V4" s="31"/>
      <c r="W4" s="31"/>
      <c r="X4" s="31"/>
      <c r="Y4" s="32"/>
    </row>
    <row r="5" spans="1:25" x14ac:dyDescent="0.3">
      <c r="A5" s="30"/>
      <c r="B5" s="31"/>
      <c r="C5" s="10"/>
      <c r="D5" s="11"/>
      <c r="E5" s="11"/>
      <c r="F5" s="11"/>
      <c r="G5" s="10"/>
      <c r="H5" s="11"/>
      <c r="I5" s="11"/>
      <c r="J5" s="11"/>
      <c r="K5" s="11"/>
      <c r="L5" s="11"/>
      <c r="M5" s="11"/>
      <c r="N5" s="11"/>
      <c r="O5" s="11"/>
      <c r="P5" s="12"/>
      <c r="Q5" s="11"/>
      <c r="R5" s="11"/>
      <c r="S5" s="11"/>
      <c r="T5" s="11"/>
      <c r="U5" s="11"/>
      <c r="V5" s="11"/>
      <c r="W5" s="12"/>
      <c r="X5" s="31"/>
      <c r="Y5" s="32"/>
    </row>
    <row r="6" spans="1:25" ht="30.6" thickBot="1" x14ac:dyDescent="0.55000000000000004">
      <c r="A6" s="30"/>
      <c r="B6" s="31"/>
      <c r="C6" s="16"/>
      <c r="D6" s="17" t="s">
        <v>22</v>
      </c>
      <c r="E6" s="18"/>
      <c r="F6" s="18"/>
      <c r="G6" s="16"/>
      <c r="H6" s="18"/>
      <c r="I6" s="19" t="s">
        <v>23</v>
      </c>
      <c r="J6" s="18"/>
      <c r="K6" s="18"/>
      <c r="L6" s="18"/>
      <c r="M6" s="18"/>
      <c r="N6" s="18"/>
      <c r="O6" s="18"/>
      <c r="P6" s="20"/>
      <c r="Q6" s="18"/>
      <c r="R6" s="21" t="s">
        <v>24</v>
      </c>
      <c r="S6" s="18"/>
      <c r="T6" s="18"/>
      <c r="U6" s="18"/>
      <c r="V6" s="18"/>
      <c r="W6" s="20"/>
      <c r="X6" s="31"/>
      <c r="Y6" s="32"/>
    </row>
    <row r="7" spans="1:25" x14ac:dyDescent="0.3">
      <c r="A7" s="30"/>
      <c r="B7" s="31"/>
      <c r="C7" s="13"/>
      <c r="D7" s="14"/>
      <c r="E7" s="14"/>
      <c r="F7" s="14"/>
      <c r="G7" s="13"/>
      <c r="H7" s="14"/>
      <c r="I7" s="14"/>
      <c r="J7" s="14"/>
      <c r="K7" s="14"/>
      <c r="L7" s="14"/>
      <c r="M7" s="14"/>
      <c r="N7" s="14"/>
      <c r="O7" s="14"/>
      <c r="P7" s="15"/>
      <c r="Q7" s="14"/>
      <c r="R7" s="14"/>
      <c r="S7" s="14"/>
      <c r="T7" s="14"/>
      <c r="U7" s="14"/>
      <c r="V7" s="14"/>
      <c r="W7" s="15"/>
      <c r="X7" s="31"/>
      <c r="Y7" s="32"/>
    </row>
    <row r="8" spans="1:25" ht="31.8" x14ac:dyDescent="0.3">
      <c r="A8" s="30"/>
      <c r="B8" s="31"/>
      <c r="C8" s="13"/>
      <c r="D8" s="22">
        <f>GETPIVOTDATA("Sum of TOTAL_REVENUE",'Data Analyse'!$M$19)</f>
        <v>190820</v>
      </c>
      <c r="E8" s="14"/>
      <c r="F8" s="23"/>
      <c r="G8" s="13"/>
      <c r="H8" s="14"/>
      <c r="I8" s="14"/>
      <c r="J8" s="14"/>
      <c r="K8" s="24">
        <f>GETPIVOTDATA("Sum of TOTAL_QUANTITY_SOLD",'Data Analyse'!$M$19)</f>
        <v>1485</v>
      </c>
      <c r="L8" s="14"/>
      <c r="M8" s="14"/>
      <c r="N8" s="14"/>
      <c r="O8" s="14"/>
      <c r="P8" s="15"/>
      <c r="Q8" s="14"/>
      <c r="R8" s="14"/>
      <c r="S8" s="14"/>
      <c r="T8" s="25">
        <f>GETPIVOTDATA("Sum of TOTAL_CUSTOMERS",'Data Analyse'!$M$19)</f>
        <v>331</v>
      </c>
      <c r="U8" s="14"/>
      <c r="V8" s="14"/>
      <c r="W8" s="15"/>
      <c r="X8" s="31"/>
      <c r="Y8" s="32"/>
    </row>
    <row r="9" spans="1:25" ht="15" thickBot="1" x14ac:dyDescent="0.35">
      <c r="A9" s="30"/>
      <c r="B9" s="31"/>
      <c r="C9" s="16"/>
      <c r="D9" s="18"/>
      <c r="E9" s="18"/>
      <c r="F9" s="18"/>
      <c r="G9" s="16"/>
      <c r="H9" s="18"/>
      <c r="I9" s="18"/>
      <c r="J9" s="18"/>
      <c r="K9" s="18"/>
      <c r="L9" s="18"/>
      <c r="M9" s="18"/>
      <c r="N9" s="18"/>
      <c r="O9" s="18"/>
      <c r="P9" s="20"/>
      <c r="Q9" s="18"/>
      <c r="R9" s="18"/>
      <c r="S9" s="18"/>
      <c r="T9" s="18"/>
      <c r="U9" s="18"/>
      <c r="V9" s="18"/>
      <c r="W9" s="20"/>
      <c r="X9" s="31"/>
      <c r="Y9" s="32"/>
    </row>
    <row r="10" spans="1:25" ht="15" thickBot="1" x14ac:dyDescent="0.35">
      <c r="A10" s="30"/>
      <c r="B10" s="31"/>
      <c r="C10" s="31"/>
      <c r="D10" s="31"/>
      <c r="E10" s="31"/>
      <c r="F10" s="31"/>
      <c r="G10" s="31"/>
      <c r="H10" s="31"/>
      <c r="I10" s="31"/>
      <c r="J10" s="31"/>
      <c r="K10" s="31"/>
      <c r="L10" s="31"/>
      <c r="M10" s="31"/>
      <c r="N10" s="31"/>
      <c r="O10" s="31"/>
      <c r="P10" s="31"/>
      <c r="Q10" s="31"/>
      <c r="R10" s="31"/>
      <c r="S10" s="31"/>
      <c r="T10" s="31"/>
      <c r="U10" s="31"/>
      <c r="V10" s="31"/>
      <c r="W10" s="31"/>
      <c r="X10" s="31"/>
      <c r="Y10" s="32"/>
    </row>
    <row r="11" spans="1:25" ht="31.8" x14ac:dyDescent="0.3">
      <c r="A11" s="30"/>
      <c r="B11" s="31"/>
      <c r="C11" s="31"/>
      <c r="D11" s="31"/>
      <c r="E11" s="10"/>
      <c r="F11" s="11"/>
      <c r="G11" s="11"/>
      <c r="H11" s="45" t="s">
        <v>25</v>
      </c>
      <c r="I11" s="11"/>
      <c r="J11" s="11"/>
      <c r="K11" s="11"/>
      <c r="L11" s="11"/>
      <c r="M11" s="12"/>
      <c r="N11" s="31"/>
      <c r="O11" s="31"/>
      <c r="P11" s="31"/>
      <c r="Q11" s="31"/>
      <c r="R11" s="31"/>
      <c r="S11" s="31"/>
      <c r="T11" s="31"/>
      <c r="U11" s="31"/>
      <c r="V11" s="31"/>
      <c r="W11" s="31"/>
      <c r="X11" s="31"/>
      <c r="Y11" s="32"/>
    </row>
    <row r="12" spans="1:25" ht="37.200000000000003" customHeight="1" x14ac:dyDescent="0.5">
      <c r="A12" s="30"/>
      <c r="B12" s="31"/>
      <c r="C12" s="31"/>
      <c r="D12" s="31"/>
      <c r="E12" s="13"/>
      <c r="F12" s="14"/>
      <c r="G12" s="14"/>
      <c r="H12" s="36" t="str">
        <f>'Data Analyse'!M26</f>
        <v>APPLE</v>
      </c>
      <c r="I12" s="14"/>
      <c r="J12" s="14"/>
      <c r="K12" s="14"/>
      <c r="L12" s="14"/>
      <c r="M12" s="15"/>
      <c r="N12" s="31"/>
      <c r="O12" s="31"/>
      <c r="P12" s="31"/>
      <c r="Q12" s="31"/>
      <c r="R12" s="31"/>
      <c r="S12" s="31"/>
      <c r="T12" s="31"/>
      <c r="U12" s="31"/>
      <c r="V12" s="31"/>
      <c r="W12" s="31"/>
      <c r="X12" s="31"/>
      <c r="Y12" s="32"/>
    </row>
    <row r="13" spans="1:25" ht="15" thickBot="1" x14ac:dyDescent="0.35">
      <c r="A13" s="30"/>
      <c r="B13" s="31"/>
      <c r="C13" s="31"/>
      <c r="D13" s="31"/>
      <c r="E13" s="16"/>
      <c r="F13" s="18"/>
      <c r="G13" s="18"/>
      <c r="H13" s="18"/>
      <c r="I13" s="18"/>
      <c r="J13" s="18"/>
      <c r="K13" s="18"/>
      <c r="L13" s="18"/>
      <c r="M13" s="20"/>
      <c r="N13" s="31"/>
      <c r="O13" s="31"/>
      <c r="P13" s="31"/>
      <c r="Q13" s="31"/>
      <c r="R13" s="31"/>
      <c r="S13" s="31"/>
      <c r="T13" s="31"/>
      <c r="U13" s="31"/>
      <c r="V13" s="31"/>
      <c r="W13" s="31"/>
      <c r="X13" s="31"/>
      <c r="Y13" s="32"/>
    </row>
    <row r="14" spans="1:25" x14ac:dyDescent="0.3">
      <c r="A14" s="30"/>
      <c r="B14" s="31"/>
      <c r="C14" s="31"/>
      <c r="D14" s="31"/>
      <c r="E14" s="31"/>
      <c r="F14" s="31"/>
      <c r="G14" s="31"/>
      <c r="H14" s="31"/>
      <c r="I14" s="31"/>
      <c r="J14" s="31"/>
      <c r="K14" s="31"/>
      <c r="L14" s="31"/>
      <c r="M14" s="31"/>
      <c r="N14" s="31"/>
      <c r="O14" s="31"/>
      <c r="P14" s="31"/>
      <c r="Q14" s="31"/>
      <c r="R14" s="31"/>
      <c r="S14" s="31"/>
      <c r="T14" s="31"/>
      <c r="U14" s="31"/>
      <c r="V14" s="31"/>
      <c r="W14" s="31"/>
      <c r="X14" s="31"/>
      <c r="Y14" s="32"/>
    </row>
    <row r="15" spans="1:25"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c r="Y15" s="32"/>
    </row>
    <row r="16" spans="1:25" ht="15" thickBot="1" x14ac:dyDescent="0.35">
      <c r="A16" s="31"/>
      <c r="B16" s="31"/>
      <c r="C16" s="31"/>
      <c r="D16" s="31"/>
      <c r="E16" s="31"/>
      <c r="F16" s="31"/>
      <c r="G16" s="31"/>
      <c r="H16" s="31"/>
      <c r="I16" s="31"/>
      <c r="J16" s="31"/>
      <c r="K16" s="31"/>
      <c r="L16" s="31"/>
      <c r="M16" s="31"/>
      <c r="N16" s="31"/>
      <c r="O16" s="31"/>
      <c r="P16" s="31"/>
      <c r="Q16" s="31"/>
      <c r="R16" s="31"/>
      <c r="S16" s="31"/>
      <c r="T16" s="31"/>
      <c r="U16" s="31"/>
      <c r="V16" s="31"/>
      <c r="W16" s="31"/>
      <c r="X16" s="31"/>
      <c r="Y16" s="32"/>
    </row>
    <row r="17" spans="1:33" ht="16.2" thickBot="1" x14ac:dyDescent="0.35">
      <c r="A17" s="38" t="s">
        <v>16</v>
      </c>
      <c r="B17" s="38" t="s">
        <v>18</v>
      </c>
      <c r="C17" s="31"/>
      <c r="D17" s="31"/>
      <c r="E17" s="31"/>
      <c r="F17" s="31"/>
      <c r="G17" s="31"/>
      <c r="H17" s="31"/>
      <c r="I17" s="31"/>
      <c r="J17" s="31"/>
      <c r="K17" s="31"/>
      <c r="L17" s="31"/>
      <c r="M17" s="31"/>
      <c r="N17" s="31"/>
      <c r="O17" s="31"/>
      <c r="P17" s="31"/>
      <c r="Q17" s="31"/>
      <c r="R17" s="31"/>
      <c r="S17" s="31"/>
      <c r="T17" s="31"/>
      <c r="U17" s="31"/>
      <c r="V17" s="31"/>
      <c r="W17" s="31"/>
      <c r="X17" s="31"/>
      <c r="Y17" s="32"/>
    </row>
    <row r="18" spans="1:33" ht="15.6" x14ac:dyDescent="0.3">
      <c r="A18" s="39" t="s">
        <v>15</v>
      </c>
      <c r="B18" s="40">
        <v>25740</v>
      </c>
      <c r="C18" s="31"/>
      <c r="D18" s="31"/>
      <c r="E18" s="31"/>
      <c r="F18" s="31"/>
      <c r="G18" s="31"/>
      <c r="H18" s="31"/>
      <c r="I18" s="31"/>
      <c r="J18" s="31"/>
      <c r="K18" s="31"/>
      <c r="L18" s="31"/>
      <c r="M18" s="31"/>
      <c r="N18" s="31"/>
      <c r="O18" s="31"/>
      <c r="P18" s="31"/>
      <c r="Q18" s="31"/>
      <c r="R18" s="31"/>
      <c r="S18" s="31"/>
      <c r="T18" s="31"/>
      <c r="U18" s="31"/>
      <c r="V18" s="31"/>
      <c r="W18" s="31"/>
      <c r="X18" s="31"/>
      <c r="Y18" s="32"/>
      <c r="AG18" s="8"/>
    </row>
    <row r="19" spans="1:33" ht="15.6" x14ac:dyDescent="0.3">
      <c r="A19" s="41" t="s">
        <v>6</v>
      </c>
      <c r="B19" s="42">
        <v>44800</v>
      </c>
      <c r="C19" s="31"/>
      <c r="D19" s="31"/>
      <c r="E19" s="31"/>
      <c r="F19" s="31"/>
      <c r="G19" s="31"/>
      <c r="H19" s="31"/>
      <c r="I19" s="31"/>
      <c r="J19" s="31"/>
      <c r="K19" s="31"/>
      <c r="L19" s="31"/>
      <c r="M19" s="31"/>
      <c r="N19" s="31"/>
      <c r="O19" s="31"/>
      <c r="P19" s="31"/>
      <c r="Q19" s="31"/>
      <c r="R19" s="31"/>
      <c r="S19" s="31"/>
      <c r="T19" s="31"/>
      <c r="U19" s="31"/>
      <c r="V19" s="31"/>
      <c r="W19" s="31"/>
      <c r="X19" s="31"/>
      <c r="Y19" s="32"/>
    </row>
    <row r="20" spans="1:33" ht="15.6" x14ac:dyDescent="0.3">
      <c r="A20" s="41" t="s">
        <v>10</v>
      </c>
      <c r="B20" s="42">
        <v>11600</v>
      </c>
      <c r="C20" s="31"/>
      <c r="D20" s="31"/>
      <c r="E20" s="31"/>
      <c r="F20" s="31"/>
      <c r="G20" s="31"/>
      <c r="H20" s="31"/>
      <c r="I20" s="31"/>
      <c r="J20" s="31"/>
      <c r="K20" s="31"/>
      <c r="L20" s="31"/>
      <c r="M20" s="31"/>
      <c r="N20" s="31"/>
      <c r="O20" s="31"/>
      <c r="P20" s="31"/>
      <c r="Q20" s="31"/>
      <c r="R20" s="31"/>
      <c r="S20" s="31"/>
      <c r="T20" s="31"/>
      <c r="U20" s="31"/>
      <c r="V20" s="31"/>
      <c r="W20" s="31"/>
      <c r="X20" s="31"/>
      <c r="Y20" s="32"/>
    </row>
    <row r="21" spans="1:33" ht="15.6" x14ac:dyDescent="0.3">
      <c r="A21" s="41" t="s">
        <v>9</v>
      </c>
      <c r="B21" s="42">
        <v>12000</v>
      </c>
      <c r="C21" s="31"/>
      <c r="D21" s="31"/>
      <c r="E21" s="31"/>
      <c r="F21" s="31"/>
      <c r="G21" s="31"/>
      <c r="H21" s="31"/>
      <c r="I21" s="31"/>
      <c r="J21" s="31"/>
      <c r="K21" s="31"/>
      <c r="L21" s="31"/>
      <c r="M21" s="31"/>
      <c r="N21" s="31"/>
      <c r="O21" s="31"/>
      <c r="P21" s="31"/>
      <c r="Q21" s="31"/>
      <c r="R21" s="31"/>
      <c r="S21" s="31"/>
      <c r="T21" s="31"/>
      <c r="U21" s="31"/>
      <c r="V21" s="31"/>
      <c r="W21" s="31"/>
      <c r="X21" s="31"/>
      <c r="Y21" s="32"/>
    </row>
    <row r="22" spans="1:33" ht="15.6" x14ac:dyDescent="0.3">
      <c r="A22" s="41" t="s">
        <v>8</v>
      </c>
      <c r="B22" s="42">
        <v>18500</v>
      </c>
      <c r="C22" s="31"/>
      <c r="D22" s="31"/>
      <c r="E22" s="31"/>
      <c r="F22" s="31"/>
      <c r="G22" s="31"/>
      <c r="H22" s="31"/>
      <c r="I22" s="31"/>
      <c r="J22" s="31"/>
      <c r="K22" s="31"/>
      <c r="L22" s="31"/>
      <c r="M22" s="31"/>
      <c r="N22" s="31"/>
      <c r="O22" s="31"/>
      <c r="P22" s="31"/>
      <c r="Q22" s="31"/>
      <c r="R22" s="31"/>
      <c r="S22" s="31"/>
      <c r="T22" s="31"/>
      <c r="U22" s="31"/>
      <c r="V22" s="31"/>
      <c r="W22" s="31"/>
      <c r="X22" s="31"/>
      <c r="Y22" s="32"/>
    </row>
    <row r="23" spans="1:33" ht="15.6" x14ac:dyDescent="0.3">
      <c r="A23" s="41" t="s">
        <v>7</v>
      </c>
      <c r="B23" s="42">
        <v>27300</v>
      </c>
      <c r="C23" s="31"/>
      <c r="D23" s="31"/>
      <c r="E23" s="31"/>
      <c r="F23" s="31"/>
      <c r="G23" s="31"/>
      <c r="H23" s="31"/>
      <c r="I23" s="31"/>
      <c r="J23" s="31"/>
      <c r="K23" s="31"/>
      <c r="L23" s="31"/>
      <c r="M23" s="31"/>
      <c r="N23" s="31"/>
      <c r="O23" s="31"/>
      <c r="P23" s="31"/>
      <c r="Q23" s="31"/>
      <c r="R23" s="31"/>
      <c r="S23" s="31"/>
      <c r="T23" s="31"/>
      <c r="U23" s="31"/>
      <c r="V23" s="31"/>
      <c r="W23" s="31"/>
      <c r="X23" s="31"/>
      <c r="Y23" s="32"/>
    </row>
    <row r="24" spans="1:33" ht="15.6" x14ac:dyDescent="0.3">
      <c r="A24" s="41" t="s">
        <v>13</v>
      </c>
      <c r="B24" s="42">
        <v>13860</v>
      </c>
      <c r="C24" s="31"/>
      <c r="D24" s="31"/>
      <c r="E24" s="31"/>
      <c r="F24" s="31"/>
      <c r="G24" s="31"/>
      <c r="H24" s="31"/>
      <c r="I24" s="31"/>
      <c r="J24" s="31"/>
      <c r="K24" s="31"/>
      <c r="L24" s="31"/>
      <c r="M24" s="31"/>
      <c r="N24" s="31"/>
      <c r="O24" s="31"/>
      <c r="P24" s="31"/>
      <c r="Q24" s="31"/>
      <c r="R24" s="31"/>
      <c r="S24" s="31"/>
      <c r="T24" s="31"/>
      <c r="U24" s="31"/>
      <c r="V24" s="31"/>
      <c r="W24" s="31"/>
      <c r="X24" s="31"/>
      <c r="Y24" s="32"/>
    </row>
    <row r="25" spans="1:33" ht="15.6" x14ac:dyDescent="0.3">
      <c r="A25" s="41" t="s">
        <v>11</v>
      </c>
      <c r="B25" s="42">
        <v>12960</v>
      </c>
      <c r="C25" s="31"/>
      <c r="D25" s="31"/>
      <c r="E25" s="31"/>
      <c r="F25" s="31"/>
      <c r="G25" s="31"/>
      <c r="H25" s="31"/>
      <c r="I25" s="31"/>
      <c r="J25" s="31"/>
      <c r="K25" s="31"/>
      <c r="L25" s="31"/>
      <c r="M25" s="31"/>
      <c r="N25" s="31"/>
      <c r="O25" s="31"/>
      <c r="P25" s="31"/>
      <c r="Q25" s="31"/>
      <c r="R25" s="31"/>
      <c r="S25" s="31"/>
      <c r="T25" s="31"/>
      <c r="U25" s="31"/>
      <c r="V25" s="31"/>
      <c r="W25" s="31"/>
      <c r="X25" s="31"/>
      <c r="Y25" s="32"/>
    </row>
    <row r="26" spans="1:33" ht="15.6" x14ac:dyDescent="0.3">
      <c r="A26" s="41" t="s">
        <v>12</v>
      </c>
      <c r="B26" s="42">
        <v>14940</v>
      </c>
      <c r="C26" s="31"/>
      <c r="D26" s="31"/>
      <c r="E26" s="31"/>
      <c r="F26" s="31"/>
      <c r="G26" s="31"/>
      <c r="H26" s="31"/>
      <c r="I26" s="31"/>
      <c r="J26" s="31"/>
      <c r="K26" s="31"/>
      <c r="L26" s="31"/>
      <c r="M26" s="31"/>
      <c r="N26" s="31"/>
      <c r="O26" s="31"/>
      <c r="P26" s="31"/>
      <c r="Q26" s="31"/>
      <c r="R26" s="31"/>
      <c r="S26" s="31"/>
      <c r="T26" s="31"/>
      <c r="U26" s="31"/>
      <c r="V26" s="31"/>
      <c r="W26" s="31"/>
      <c r="X26" s="31"/>
      <c r="Y26" s="32"/>
    </row>
    <row r="27" spans="1:33" ht="16.2" thickBot="1" x14ac:dyDescent="0.35">
      <c r="A27" s="43" t="s">
        <v>14</v>
      </c>
      <c r="B27" s="44">
        <v>9120</v>
      </c>
      <c r="C27" s="31"/>
      <c r="D27" s="31"/>
      <c r="E27" s="31"/>
      <c r="F27" s="31"/>
      <c r="G27" s="31"/>
      <c r="H27" s="31"/>
      <c r="I27" s="31"/>
      <c r="J27" s="31"/>
      <c r="K27" s="31"/>
      <c r="L27" s="31"/>
      <c r="M27" s="31"/>
      <c r="N27" s="31"/>
      <c r="O27" s="31"/>
      <c r="P27" s="31"/>
      <c r="Q27" s="31"/>
      <c r="R27" s="31"/>
      <c r="S27" s="31"/>
      <c r="T27" s="31"/>
      <c r="U27" s="31"/>
      <c r="V27" s="31"/>
      <c r="W27" s="31"/>
      <c r="X27" s="31"/>
      <c r="Y27" s="32"/>
    </row>
    <row r="28" spans="1:33" x14ac:dyDescent="0.3">
      <c r="A28" s="30"/>
      <c r="B28" s="31"/>
      <c r="C28" s="31"/>
      <c r="D28" s="31"/>
      <c r="E28" s="31"/>
      <c r="F28" s="31"/>
      <c r="G28" s="31"/>
      <c r="H28" s="31"/>
      <c r="I28" s="31"/>
      <c r="J28" s="31"/>
      <c r="K28" s="31"/>
      <c r="L28" s="31"/>
      <c r="M28" s="31"/>
      <c r="N28" s="31"/>
      <c r="O28" s="31"/>
      <c r="P28" s="31"/>
      <c r="Q28" s="31"/>
      <c r="R28" s="31"/>
      <c r="S28" s="31"/>
      <c r="T28" s="31"/>
      <c r="U28" s="31"/>
      <c r="V28" s="31"/>
      <c r="W28" s="31"/>
      <c r="X28" s="31"/>
      <c r="Y28" s="32"/>
    </row>
    <row r="29" spans="1:33" x14ac:dyDescent="0.3">
      <c r="A29" s="30"/>
      <c r="B29" s="31"/>
      <c r="C29" s="31"/>
      <c r="D29" s="31"/>
      <c r="E29" s="31"/>
      <c r="F29" s="31"/>
      <c r="G29" s="31"/>
      <c r="H29" s="31"/>
      <c r="I29" s="31"/>
      <c r="J29" s="31"/>
      <c r="K29" s="31"/>
      <c r="L29" s="31"/>
      <c r="M29" s="31"/>
      <c r="N29" s="31"/>
      <c r="O29" s="31"/>
      <c r="P29" s="31"/>
      <c r="Q29" s="31"/>
      <c r="R29" s="31"/>
      <c r="S29" s="31"/>
      <c r="T29" s="31"/>
      <c r="U29" s="31"/>
      <c r="V29" s="31"/>
      <c r="W29" s="31"/>
      <c r="X29" s="31"/>
      <c r="Y29" s="32"/>
    </row>
    <row r="30" spans="1:33" x14ac:dyDescent="0.3">
      <c r="A30" s="30"/>
      <c r="B30" s="31"/>
      <c r="C30" s="31"/>
      <c r="D30" s="31"/>
      <c r="E30" s="31"/>
      <c r="F30" s="31"/>
      <c r="G30" s="31"/>
      <c r="H30" s="31"/>
      <c r="I30" s="31"/>
      <c r="J30" s="31"/>
      <c r="K30" s="31"/>
      <c r="L30" s="31"/>
      <c r="M30" s="31"/>
      <c r="N30" s="31"/>
      <c r="O30" s="31"/>
      <c r="P30" s="31"/>
      <c r="Q30" s="31"/>
      <c r="R30" s="31"/>
      <c r="S30" s="31"/>
      <c r="T30" s="31"/>
      <c r="U30" s="31"/>
      <c r="V30" s="31"/>
      <c r="W30" s="31"/>
      <c r="X30" s="31"/>
      <c r="Y30" s="32"/>
    </row>
    <row r="31" spans="1:33" x14ac:dyDescent="0.3">
      <c r="A31" s="30"/>
      <c r="B31" s="31"/>
      <c r="C31" s="31"/>
      <c r="D31" s="31"/>
      <c r="E31" s="31"/>
      <c r="F31" s="31"/>
      <c r="G31" s="31"/>
      <c r="H31" s="31"/>
      <c r="I31" s="31"/>
      <c r="J31" s="31"/>
      <c r="K31" s="31"/>
      <c r="L31" s="31"/>
      <c r="M31" s="31"/>
      <c r="N31" s="31"/>
      <c r="O31" s="31"/>
      <c r="P31" s="31"/>
      <c r="Q31" s="31"/>
      <c r="R31" s="31"/>
      <c r="S31" s="31"/>
      <c r="T31" s="31"/>
      <c r="U31" s="31"/>
      <c r="V31" s="31"/>
      <c r="W31" s="31"/>
      <c r="X31" s="31"/>
      <c r="Y31" s="32"/>
    </row>
    <row r="32" spans="1:33" x14ac:dyDescent="0.3">
      <c r="A32" s="30"/>
      <c r="B32" s="31"/>
      <c r="C32" s="31"/>
      <c r="D32" s="31"/>
      <c r="E32" s="31"/>
      <c r="F32" s="31"/>
      <c r="G32" s="31"/>
      <c r="H32" s="31"/>
      <c r="I32" s="31"/>
      <c r="J32" s="31"/>
      <c r="K32" s="31"/>
      <c r="L32" s="31"/>
      <c r="M32" s="31"/>
      <c r="N32" s="31"/>
      <c r="O32" s="31"/>
      <c r="P32" s="31"/>
      <c r="Q32" s="31"/>
      <c r="R32" s="31"/>
      <c r="S32" s="31"/>
      <c r="T32" s="31"/>
      <c r="U32" s="31"/>
      <c r="V32" s="31"/>
      <c r="W32" s="31"/>
      <c r="X32" s="31"/>
      <c r="Y32" s="32"/>
    </row>
    <row r="33" spans="1:25" x14ac:dyDescent="0.3">
      <c r="A33" s="30"/>
      <c r="B33" s="31"/>
      <c r="C33" s="31"/>
      <c r="D33" s="31"/>
      <c r="E33" s="31"/>
      <c r="F33" s="31"/>
      <c r="G33" s="31"/>
      <c r="H33" s="31"/>
      <c r="I33" s="31"/>
      <c r="J33" s="31"/>
      <c r="K33" s="31"/>
      <c r="L33" s="31"/>
      <c r="M33" s="31"/>
      <c r="N33" s="31"/>
      <c r="O33" s="31"/>
      <c r="P33" s="31"/>
      <c r="Q33" s="31"/>
      <c r="R33" s="31"/>
      <c r="S33" s="31"/>
      <c r="T33" s="31"/>
      <c r="U33" s="31"/>
      <c r="V33" s="31"/>
      <c r="W33" s="31"/>
      <c r="X33" s="31"/>
      <c r="Y33" s="32"/>
    </row>
    <row r="34" spans="1:25" x14ac:dyDescent="0.3">
      <c r="A34" s="30"/>
      <c r="B34" s="31"/>
      <c r="C34" s="31"/>
      <c r="D34" s="31"/>
      <c r="E34" s="31"/>
      <c r="F34" s="31"/>
      <c r="G34" s="31"/>
      <c r="H34" s="31"/>
      <c r="I34" s="31"/>
      <c r="J34" s="31"/>
      <c r="K34" s="31"/>
      <c r="L34" s="31"/>
      <c r="M34" s="31"/>
      <c r="N34" s="31"/>
      <c r="O34" s="31"/>
      <c r="P34" s="31"/>
      <c r="Q34" s="31"/>
      <c r="R34" s="31"/>
      <c r="S34" s="31"/>
      <c r="T34" s="31"/>
      <c r="U34" s="31"/>
      <c r="V34" s="31"/>
      <c r="W34" s="31"/>
      <c r="X34" s="31"/>
      <c r="Y34" s="32"/>
    </row>
    <row r="35" spans="1:25" x14ac:dyDescent="0.3">
      <c r="A35" s="30"/>
      <c r="B35" s="31"/>
      <c r="C35" s="31"/>
      <c r="D35" s="31"/>
      <c r="E35" s="31"/>
      <c r="F35" s="31"/>
      <c r="G35" s="31"/>
      <c r="H35" s="31"/>
      <c r="I35" s="31"/>
      <c r="J35" s="31"/>
      <c r="K35" s="31"/>
      <c r="L35" s="31"/>
      <c r="M35" s="31"/>
      <c r="N35" s="31"/>
      <c r="O35" s="31"/>
      <c r="P35" s="31"/>
      <c r="Q35" s="31"/>
      <c r="R35" s="31"/>
      <c r="S35" s="31"/>
      <c r="T35" s="31"/>
      <c r="U35" s="31"/>
      <c r="V35" s="31"/>
      <c r="W35" s="31"/>
      <c r="X35" s="31"/>
      <c r="Y35" s="32"/>
    </row>
    <row r="36" spans="1:25" x14ac:dyDescent="0.3">
      <c r="A36" s="30"/>
      <c r="B36" s="31"/>
      <c r="C36" s="31"/>
      <c r="D36" s="31"/>
      <c r="E36" s="31"/>
      <c r="F36" s="31"/>
      <c r="G36" s="31"/>
      <c r="H36" s="31"/>
      <c r="I36" s="31"/>
      <c r="J36" s="31"/>
      <c r="K36" s="31"/>
      <c r="L36" s="31"/>
      <c r="M36" s="31"/>
      <c r="N36" s="31"/>
      <c r="O36" s="31"/>
      <c r="P36" s="31"/>
      <c r="Q36" s="31"/>
      <c r="R36" s="31"/>
      <c r="S36" s="31"/>
      <c r="T36" s="31"/>
      <c r="U36" s="31"/>
      <c r="V36" s="31"/>
      <c r="W36" s="31"/>
      <c r="X36" s="31"/>
      <c r="Y36" s="32"/>
    </row>
    <row r="37" spans="1:25" x14ac:dyDescent="0.3">
      <c r="A37" s="30"/>
      <c r="B37" s="31"/>
      <c r="C37" s="31"/>
      <c r="D37" s="31"/>
      <c r="E37" s="31"/>
      <c r="F37" s="31"/>
      <c r="G37" s="31"/>
      <c r="H37" s="31"/>
      <c r="I37" s="31"/>
      <c r="J37" s="31"/>
      <c r="K37" s="31"/>
      <c r="L37" s="31"/>
      <c r="M37" s="31"/>
      <c r="N37" s="31"/>
      <c r="O37" s="31"/>
      <c r="P37" s="31"/>
      <c r="Q37" s="31"/>
      <c r="R37" s="31"/>
      <c r="S37" s="31"/>
      <c r="T37" s="31"/>
      <c r="U37" s="31"/>
      <c r="V37" s="31"/>
      <c r="W37" s="31"/>
      <c r="X37" s="31"/>
      <c r="Y37" s="32"/>
    </row>
    <row r="38" spans="1:25" x14ac:dyDescent="0.3">
      <c r="A38" s="30"/>
      <c r="B38" s="31"/>
      <c r="C38" s="31"/>
      <c r="D38" s="31"/>
      <c r="E38" s="31"/>
      <c r="F38" s="31"/>
      <c r="G38" s="31"/>
      <c r="H38" s="31"/>
      <c r="I38" s="31"/>
      <c r="J38" s="31"/>
      <c r="K38" s="31"/>
      <c r="L38" s="31"/>
      <c r="M38" s="31"/>
      <c r="N38" s="31"/>
      <c r="O38" s="31"/>
      <c r="P38" s="31"/>
      <c r="Q38" s="31"/>
      <c r="R38" s="31"/>
      <c r="S38" s="31"/>
      <c r="T38" s="31"/>
      <c r="U38" s="31"/>
      <c r="V38" s="31"/>
      <c r="W38" s="31"/>
      <c r="X38" s="31"/>
      <c r="Y38" s="32"/>
    </row>
    <row r="39" spans="1:25" x14ac:dyDescent="0.3">
      <c r="A39" s="30"/>
      <c r="B39" s="31"/>
      <c r="C39" s="31"/>
      <c r="D39" s="31"/>
      <c r="E39" s="31"/>
      <c r="F39" s="31"/>
      <c r="G39" s="31"/>
      <c r="H39" s="31"/>
      <c r="I39" s="31"/>
      <c r="J39" s="31"/>
      <c r="K39" s="31"/>
      <c r="L39" s="31"/>
      <c r="M39" s="31"/>
      <c r="N39" s="31"/>
      <c r="O39" s="31"/>
      <c r="P39" s="31"/>
      <c r="Q39" s="31"/>
      <c r="R39" s="31"/>
      <c r="S39" s="31"/>
      <c r="T39" s="31"/>
      <c r="U39" s="31"/>
      <c r="V39" s="31"/>
      <c r="W39" s="31"/>
      <c r="X39" s="31"/>
      <c r="Y39" s="32"/>
    </row>
    <row r="40" spans="1:25" x14ac:dyDescent="0.3">
      <c r="A40" s="30"/>
      <c r="B40" s="31"/>
      <c r="C40" s="31"/>
      <c r="D40" s="31"/>
      <c r="E40" s="31"/>
      <c r="F40" s="31"/>
      <c r="G40" s="31"/>
      <c r="H40" s="31"/>
      <c r="I40" s="31"/>
      <c r="J40" s="31"/>
      <c r="K40" s="31"/>
      <c r="L40" s="31"/>
      <c r="M40" s="31"/>
      <c r="N40" s="31"/>
      <c r="O40" s="31"/>
      <c r="P40" s="31"/>
      <c r="Q40" s="31"/>
      <c r="R40" s="31"/>
      <c r="S40" s="31"/>
      <c r="T40" s="31"/>
      <c r="U40" s="31"/>
      <c r="V40" s="31"/>
      <c r="W40" s="31"/>
      <c r="X40" s="31"/>
      <c r="Y40" s="32"/>
    </row>
    <row r="41" spans="1:25" x14ac:dyDescent="0.3">
      <c r="A41" s="30"/>
      <c r="B41" s="31"/>
      <c r="C41" s="31"/>
      <c r="D41" s="31"/>
      <c r="E41" s="31"/>
      <c r="F41" s="31"/>
      <c r="G41" s="31"/>
      <c r="H41" s="31"/>
      <c r="I41" s="31"/>
      <c r="J41" s="31"/>
      <c r="K41" s="31"/>
      <c r="L41" s="31"/>
      <c r="M41" s="31"/>
      <c r="N41" s="31"/>
      <c r="O41" s="31"/>
      <c r="P41" s="31"/>
      <c r="Q41" s="31"/>
      <c r="R41" s="31"/>
      <c r="S41" s="31"/>
      <c r="T41" s="31"/>
      <c r="U41" s="31"/>
      <c r="V41" s="31"/>
      <c r="W41" s="31"/>
      <c r="X41" s="31"/>
      <c r="Y41" s="32"/>
    </row>
    <row r="42" spans="1:25" x14ac:dyDescent="0.3">
      <c r="A42" s="30"/>
      <c r="B42" s="31"/>
      <c r="C42" s="31"/>
      <c r="D42" s="31"/>
      <c r="E42" s="31"/>
      <c r="F42" s="31"/>
      <c r="G42" s="31"/>
      <c r="H42" s="31"/>
      <c r="I42" s="31"/>
      <c r="J42" s="31"/>
      <c r="K42" s="31"/>
      <c r="L42" s="31"/>
      <c r="M42" s="31"/>
      <c r="N42" s="31"/>
      <c r="O42" s="31"/>
      <c r="P42" s="31"/>
      <c r="Q42" s="31"/>
      <c r="R42" s="31"/>
      <c r="S42" s="31"/>
      <c r="T42" s="31"/>
      <c r="U42" s="31"/>
      <c r="V42" s="31"/>
      <c r="W42" s="31"/>
      <c r="X42" s="31"/>
      <c r="Y42" s="32"/>
    </row>
    <row r="43" spans="1:25" x14ac:dyDescent="0.3">
      <c r="A43" s="30"/>
      <c r="B43" s="31"/>
      <c r="C43" s="31"/>
      <c r="D43" s="31"/>
      <c r="E43" s="31"/>
      <c r="F43" s="31"/>
      <c r="G43" s="31"/>
      <c r="H43" s="31"/>
      <c r="I43" s="31"/>
      <c r="J43" s="31"/>
      <c r="K43" s="31"/>
      <c r="L43" s="31"/>
      <c r="M43" s="31"/>
      <c r="N43" s="31"/>
      <c r="O43" s="31"/>
      <c r="P43" s="31"/>
      <c r="Q43" s="31"/>
      <c r="R43" s="31"/>
      <c r="S43" s="31"/>
      <c r="T43" s="31"/>
      <c r="U43" s="31"/>
      <c r="V43" s="31"/>
      <c r="W43" s="31"/>
      <c r="X43" s="31"/>
      <c r="Y43" s="32"/>
    </row>
    <row r="44" spans="1:25" x14ac:dyDescent="0.3">
      <c r="A44" s="30"/>
      <c r="B44" s="31"/>
      <c r="C44" s="31"/>
      <c r="D44" s="31"/>
      <c r="E44" s="31"/>
      <c r="F44" s="31"/>
      <c r="G44" s="31"/>
      <c r="H44" s="31"/>
      <c r="I44" s="31"/>
      <c r="J44" s="31"/>
      <c r="K44" s="31"/>
      <c r="L44" s="31"/>
      <c r="M44" s="31"/>
      <c r="N44" s="31"/>
      <c r="O44" s="31"/>
      <c r="P44" s="31"/>
      <c r="Q44" s="31"/>
      <c r="R44" s="31"/>
      <c r="S44" s="31"/>
      <c r="T44" s="31"/>
      <c r="U44" s="31"/>
      <c r="V44" s="31"/>
      <c r="W44" s="31"/>
      <c r="X44" s="31"/>
      <c r="Y44" s="32"/>
    </row>
    <row r="45" spans="1:25" x14ac:dyDescent="0.3">
      <c r="A45" s="30"/>
      <c r="B45" s="31"/>
      <c r="C45" s="31"/>
      <c r="D45" s="31"/>
      <c r="E45" s="31"/>
      <c r="F45" s="31"/>
      <c r="G45" s="31"/>
      <c r="H45" s="31"/>
      <c r="I45" s="31"/>
      <c r="J45" s="31"/>
      <c r="K45" s="31"/>
      <c r="L45" s="31"/>
      <c r="M45" s="31"/>
      <c r="N45" s="31"/>
      <c r="O45" s="31"/>
      <c r="P45" s="31"/>
      <c r="Q45" s="31"/>
      <c r="R45" s="31"/>
      <c r="S45" s="31"/>
      <c r="T45" s="31"/>
      <c r="U45" s="31"/>
      <c r="V45" s="31"/>
      <c r="W45" s="31"/>
      <c r="X45" s="31"/>
      <c r="Y45" s="32"/>
    </row>
    <row r="46" spans="1:25" x14ac:dyDescent="0.3">
      <c r="A46" s="30"/>
      <c r="B46" s="31"/>
      <c r="C46" s="31"/>
      <c r="D46" s="31"/>
      <c r="E46" s="31"/>
      <c r="F46" s="31"/>
      <c r="G46" s="31"/>
      <c r="H46" s="31"/>
      <c r="I46" s="31"/>
      <c r="J46" s="31"/>
      <c r="K46" s="31"/>
      <c r="L46" s="31"/>
      <c r="M46" s="31"/>
      <c r="N46" s="31"/>
      <c r="O46" s="31"/>
      <c r="P46" s="31"/>
      <c r="Q46" s="31"/>
      <c r="R46" s="31"/>
      <c r="S46" s="31"/>
      <c r="T46" s="31"/>
      <c r="U46" s="31"/>
      <c r="V46" s="31"/>
      <c r="W46" s="31"/>
      <c r="X46" s="31"/>
      <c r="Y46" s="32"/>
    </row>
    <row r="47" spans="1:25" x14ac:dyDescent="0.3">
      <c r="A47" s="30"/>
      <c r="B47" s="31"/>
      <c r="C47" s="31"/>
      <c r="D47" s="31"/>
      <c r="E47" s="31"/>
      <c r="F47" s="31"/>
      <c r="G47" s="31"/>
      <c r="H47" s="31"/>
      <c r="I47" s="31"/>
      <c r="J47" s="31"/>
      <c r="K47" s="31"/>
      <c r="L47" s="31"/>
      <c r="M47" s="31"/>
      <c r="N47" s="31"/>
      <c r="O47" s="31"/>
      <c r="P47" s="31"/>
      <c r="Q47" s="31"/>
      <c r="R47" s="31"/>
      <c r="S47" s="31"/>
      <c r="T47" s="31"/>
      <c r="U47" s="31"/>
      <c r="V47" s="31"/>
      <c r="W47" s="31"/>
      <c r="X47" s="31"/>
      <c r="Y47" s="32"/>
    </row>
    <row r="48" spans="1:25" x14ac:dyDescent="0.3">
      <c r="A48" s="30"/>
      <c r="B48" s="31"/>
      <c r="C48" s="31"/>
      <c r="D48" s="31"/>
      <c r="E48" s="31"/>
      <c r="F48" s="31"/>
      <c r="G48" s="31"/>
      <c r="H48" s="31"/>
      <c r="I48" s="31"/>
      <c r="J48" s="31"/>
      <c r="K48" s="31"/>
      <c r="L48" s="31"/>
      <c r="M48" s="31"/>
      <c r="N48" s="31"/>
      <c r="O48" s="31"/>
      <c r="P48" s="31"/>
      <c r="Q48" s="31"/>
      <c r="R48" s="31"/>
      <c r="S48" s="31"/>
      <c r="T48" s="31"/>
      <c r="U48" s="31"/>
      <c r="V48" s="31"/>
      <c r="W48" s="31"/>
      <c r="X48" s="31"/>
      <c r="Y48" s="32"/>
    </row>
    <row r="49" spans="1:25" x14ac:dyDescent="0.3">
      <c r="A49" s="30"/>
      <c r="B49" s="31"/>
      <c r="C49" s="31"/>
      <c r="D49" s="31"/>
      <c r="E49" s="31"/>
      <c r="F49" s="31"/>
      <c r="G49" s="31"/>
      <c r="H49" s="31"/>
      <c r="I49" s="31"/>
      <c r="J49" s="31"/>
      <c r="K49" s="31"/>
      <c r="L49" s="31"/>
      <c r="M49" s="31"/>
      <c r="N49" s="31"/>
      <c r="O49" s="31"/>
      <c r="P49" s="31"/>
      <c r="Q49" s="31"/>
      <c r="R49" s="31"/>
      <c r="S49" s="31"/>
      <c r="T49" s="31"/>
      <c r="U49" s="31"/>
      <c r="V49" s="31"/>
      <c r="W49" s="31"/>
      <c r="X49" s="31"/>
      <c r="Y49" s="32"/>
    </row>
    <row r="50" spans="1:25" x14ac:dyDescent="0.3">
      <c r="A50" s="30"/>
      <c r="B50" s="31"/>
      <c r="C50" s="31"/>
      <c r="D50" s="31"/>
      <c r="E50" s="31"/>
      <c r="F50" s="31"/>
      <c r="G50" s="31"/>
      <c r="H50" s="31"/>
      <c r="I50" s="31"/>
      <c r="J50" s="31"/>
      <c r="K50" s="31"/>
      <c r="L50" s="31"/>
      <c r="M50" s="31"/>
      <c r="N50" s="31"/>
      <c r="O50" s="31"/>
      <c r="P50" s="31"/>
      <c r="Q50" s="31"/>
      <c r="R50" s="31"/>
      <c r="S50" s="31"/>
      <c r="T50" s="31"/>
      <c r="U50" s="31"/>
      <c r="V50" s="31"/>
      <c r="W50" s="31"/>
      <c r="X50" s="31"/>
      <c r="Y50" s="32"/>
    </row>
    <row r="51" spans="1:25" x14ac:dyDescent="0.3">
      <c r="A51" s="30"/>
      <c r="B51" s="31"/>
      <c r="C51" s="31"/>
      <c r="D51" s="31"/>
      <c r="E51" s="31"/>
      <c r="F51" s="31"/>
      <c r="G51" s="31"/>
      <c r="H51" s="31"/>
      <c r="I51" s="31"/>
      <c r="J51" s="31"/>
      <c r="K51" s="31"/>
      <c r="L51" s="31"/>
      <c r="M51" s="31"/>
      <c r="N51" s="31"/>
      <c r="O51" s="31"/>
      <c r="P51" s="31"/>
      <c r="Q51" s="31"/>
      <c r="R51" s="31"/>
      <c r="S51" s="31"/>
      <c r="T51" s="31"/>
      <c r="U51" s="31"/>
      <c r="V51" s="31"/>
      <c r="W51" s="31"/>
      <c r="X51" s="31"/>
      <c r="Y51" s="32"/>
    </row>
    <row r="52" spans="1:25" x14ac:dyDescent="0.3">
      <c r="A52" s="30"/>
      <c r="B52" s="31"/>
      <c r="C52" s="31"/>
      <c r="D52" s="31"/>
      <c r="E52" s="31"/>
      <c r="F52" s="31"/>
      <c r="G52" s="31"/>
      <c r="H52" s="31"/>
      <c r="I52" s="31"/>
      <c r="J52" s="31"/>
      <c r="K52" s="31"/>
      <c r="L52" s="31"/>
      <c r="M52" s="31"/>
      <c r="N52" s="31"/>
      <c r="O52" s="31"/>
      <c r="P52" s="31"/>
      <c r="Q52" s="31"/>
      <c r="R52" s="31"/>
      <c r="S52" s="31"/>
      <c r="T52" s="31"/>
      <c r="U52" s="31"/>
      <c r="V52" s="31"/>
      <c r="W52" s="31"/>
      <c r="X52" s="31"/>
      <c r="Y52" s="32"/>
    </row>
    <row r="53" spans="1:25" x14ac:dyDescent="0.3">
      <c r="A53" s="30"/>
      <c r="B53" s="31"/>
      <c r="C53" s="31"/>
      <c r="D53" s="31"/>
      <c r="E53" s="31"/>
      <c r="F53" s="31"/>
      <c r="G53" s="31"/>
      <c r="H53" s="31"/>
      <c r="I53" s="31"/>
      <c r="J53" s="31"/>
      <c r="K53" s="31"/>
      <c r="L53" s="31"/>
      <c r="M53" s="31"/>
      <c r="N53" s="31"/>
      <c r="O53" s="31"/>
      <c r="P53" s="31"/>
      <c r="Q53" s="31"/>
      <c r="R53" s="31"/>
      <c r="S53" s="31"/>
      <c r="T53" s="31"/>
      <c r="U53" s="31"/>
      <c r="V53" s="31"/>
      <c r="W53" s="31"/>
      <c r="X53" s="31"/>
      <c r="Y53" s="32"/>
    </row>
    <row r="54" spans="1:25" x14ac:dyDescent="0.3">
      <c r="A54" s="30"/>
      <c r="B54" s="31"/>
      <c r="C54" s="31"/>
      <c r="D54" s="31"/>
      <c r="E54" s="31"/>
      <c r="F54" s="31"/>
      <c r="G54" s="31"/>
      <c r="H54" s="31"/>
      <c r="I54" s="31"/>
      <c r="J54" s="31"/>
      <c r="K54" s="31"/>
      <c r="L54" s="31"/>
      <c r="M54" s="31"/>
      <c r="N54" s="31"/>
      <c r="O54" s="31"/>
      <c r="P54" s="31"/>
      <c r="Q54" s="31"/>
      <c r="R54" s="31"/>
      <c r="S54" s="31"/>
      <c r="T54" s="31"/>
      <c r="U54" s="31"/>
      <c r="V54" s="31"/>
      <c r="W54" s="31"/>
      <c r="X54" s="31"/>
      <c r="Y54" s="32"/>
    </row>
    <row r="55" spans="1:25" x14ac:dyDescent="0.3">
      <c r="A55" s="30"/>
      <c r="B55" s="31"/>
      <c r="C55" s="31"/>
      <c r="D55" s="31"/>
      <c r="E55" s="31"/>
      <c r="F55" s="31"/>
      <c r="G55" s="31"/>
      <c r="H55" s="31"/>
      <c r="I55" s="31"/>
      <c r="J55" s="31"/>
      <c r="K55" s="31"/>
      <c r="L55" s="31"/>
      <c r="M55" s="31"/>
      <c r="N55" s="31"/>
      <c r="O55" s="31"/>
      <c r="P55" s="31"/>
      <c r="Q55" s="31"/>
      <c r="R55" s="31"/>
      <c r="S55" s="31"/>
      <c r="T55" s="31"/>
      <c r="U55" s="31"/>
      <c r="V55" s="31"/>
      <c r="W55" s="31"/>
      <c r="X55" s="31"/>
      <c r="Y55" s="32"/>
    </row>
    <row r="56" spans="1:25" x14ac:dyDescent="0.3">
      <c r="A56" s="30"/>
      <c r="B56" s="31"/>
      <c r="C56" s="31"/>
      <c r="D56" s="31"/>
      <c r="E56" s="31"/>
      <c r="F56" s="31"/>
      <c r="G56" s="31"/>
      <c r="H56" s="31"/>
      <c r="I56" s="31"/>
      <c r="J56" s="31"/>
      <c r="K56" s="31"/>
      <c r="L56" s="31"/>
      <c r="M56" s="31"/>
      <c r="N56" s="31"/>
      <c r="O56" s="31"/>
      <c r="P56" s="31"/>
      <c r="Q56" s="31"/>
      <c r="R56" s="31"/>
      <c r="S56" s="31"/>
      <c r="T56" s="31"/>
      <c r="U56" s="31"/>
      <c r="V56" s="31"/>
      <c r="W56" s="31"/>
      <c r="X56" s="31"/>
      <c r="Y56" s="32"/>
    </row>
    <row r="57" spans="1:25" x14ac:dyDescent="0.3">
      <c r="A57" s="30"/>
      <c r="B57" s="31"/>
      <c r="C57" s="31"/>
      <c r="D57" s="31"/>
      <c r="E57" s="31"/>
      <c r="F57" s="31"/>
      <c r="G57" s="31"/>
      <c r="H57" s="31"/>
      <c r="I57" s="31"/>
      <c r="J57" s="31"/>
      <c r="K57" s="31"/>
      <c r="L57" s="31"/>
      <c r="M57" s="31"/>
      <c r="N57" s="31"/>
      <c r="O57" s="31"/>
      <c r="P57" s="31"/>
      <c r="Q57" s="31"/>
      <c r="R57" s="31"/>
      <c r="S57" s="31"/>
      <c r="T57" s="31"/>
      <c r="U57" s="31"/>
      <c r="V57" s="31"/>
      <c r="W57" s="31"/>
      <c r="X57" s="31"/>
      <c r="Y57" s="32"/>
    </row>
    <row r="58" spans="1:25" x14ac:dyDescent="0.3">
      <c r="A58" s="30"/>
      <c r="B58" s="31"/>
      <c r="C58" s="31"/>
      <c r="D58" s="31"/>
      <c r="E58" s="31"/>
      <c r="F58" s="31"/>
      <c r="G58" s="31"/>
      <c r="H58" s="31"/>
      <c r="I58" s="31"/>
      <c r="J58" s="31"/>
      <c r="K58" s="31"/>
      <c r="L58" s="31"/>
      <c r="M58" s="31"/>
      <c r="N58" s="31"/>
      <c r="O58" s="31"/>
      <c r="P58" s="31"/>
      <c r="Q58" s="31"/>
      <c r="R58" s="31"/>
      <c r="S58" s="31"/>
      <c r="T58" s="31"/>
      <c r="U58" s="31"/>
      <c r="V58" s="31"/>
      <c r="W58" s="31"/>
      <c r="X58" s="31"/>
      <c r="Y58" s="32"/>
    </row>
    <row r="59" spans="1:25" x14ac:dyDescent="0.3">
      <c r="A59" s="30"/>
      <c r="B59" s="31"/>
      <c r="C59" s="31"/>
      <c r="D59" s="31"/>
      <c r="E59" s="31"/>
      <c r="F59" s="31"/>
      <c r="G59" s="31"/>
      <c r="H59" s="31"/>
      <c r="I59" s="31"/>
      <c r="J59" s="31"/>
      <c r="K59" s="31"/>
      <c r="L59" s="31"/>
      <c r="M59" s="31"/>
      <c r="N59" s="31"/>
      <c r="O59" s="31"/>
      <c r="P59" s="31"/>
      <c r="Q59" s="31"/>
      <c r="R59" s="31"/>
      <c r="S59" s="31"/>
      <c r="T59" s="31"/>
      <c r="U59" s="31"/>
      <c r="V59" s="31"/>
      <c r="W59" s="31"/>
      <c r="X59" s="31"/>
      <c r="Y59" s="32"/>
    </row>
    <row r="60" spans="1:25" x14ac:dyDescent="0.3">
      <c r="A60" s="30"/>
      <c r="B60" s="31"/>
      <c r="C60" s="31"/>
      <c r="D60" s="31"/>
      <c r="E60" s="31"/>
      <c r="F60" s="31"/>
      <c r="G60" s="31"/>
      <c r="H60" s="31"/>
      <c r="I60" s="31"/>
      <c r="J60" s="31"/>
      <c r="K60" s="31"/>
      <c r="L60" s="31"/>
      <c r="M60" s="31"/>
      <c r="N60" s="31"/>
      <c r="O60" s="31"/>
      <c r="P60" s="31"/>
      <c r="Q60" s="31"/>
      <c r="R60" s="31"/>
      <c r="S60" s="31"/>
      <c r="T60" s="31"/>
      <c r="U60" s="31"/>
      <c r="V60" s="31"/>
      <c r="W60" s="31"/>
      <c r="X60" s="31"/>
      <c r="Y60" s="32"/>
    </row>
    <row r="61" spans="1:25" x14ac:dyDescent="0.3">
      <c r="A61" s="30"/>
      <c r="B61" s="31"/>
      <c r="C61" s="31"/>
      <c r="D61" s="31"/>
      <c r="E61" s="31"/>
      <c r="F61" s="31"/>
      <c r="G61" s="31"/>
      <c r="H61" s="31"/>
      <c r="I61" s="31"/>
      <c r="J61" s="31"/>
      <c r="K61" s="31"/>
      <c r="L61" s="31"/>
      <c r="M61" s="31"/>
      <c r="N61" s="31"/>
      <c r="O61" s="31"/>
      <c r="P61" s="31"/>
      <c r="Q61" s="31"/>
      <c r="R61" s="31"/>
      <c r="S61" s="31"/>
      <c r="T61" s="31"/>
      <c r="U61" s="31"/>
      <c r="V61" s="31"/>
      <c r="W61" s="31"/>
      <c r="X61" s="31"/>
      <c r="Y61" s="32"/>
    </row>
    <row r="62" spans="1:25" x14ac:dyDescent="0.3">
      <c r="A62" s="30"/>
      <c r="B62" s="31"/>
      <c r="C62" s="31"/>
      <c r="D62" s="31"/>
      <c r="E62" s="31"/>
      <c r="F62" s="31"/>
      <c r="G62" s="31"/>
      <c r="H62" s="31"/>
      <c r="I62" s="31"/>
      <c r="J62" s="31"/>
      <c r="K62" s="31"/>
      <c r="L62" s="31"/>
      <c r="M62" s="31"/>
      <c r="N62" s="31"/>
      <c r="O62" s="31"/>
      <c r="P62" s="31"/>
      <c r="Q62" s="31"/>
      <c r="R62" s="31"/>
      <c r="S62" s="31"/>
      <c r="T62" s="31"/>
      <c r="U62" s="31"/>
      <c r="V62" s="31"/>
      <c r="W62" s="31"/>
      <c r="X62" s="31"/>
      <c r="Y62" s="32"/>
    </row>
    <row r="63" spans="1:25" x14ac:dyDescent="0.3">
      <c r="A63" s="30"/>
      <c r="B63" s="31"/>
      <c r="C63" s="31"/>
      <c r="D63" s="31"/>
      <c r="E63" s="31"/>
      <c r="F63" s="31"/>
      <c r="G63" s="31"/>
      <c r="H63" s="31"/>
      <c r="I63" s="31"/>
      <c r="J63" s="31"/>
      <c r="K63" s="31"/>
      <c r="L63" s="31"/>
      <c r="M63" s="31"/>
      <c r="N63" s="31"/>
      <c r="O63" s="31"/>
      <c r="P63" s="31"/>
      <c r="Q63" s="31"/>
      <c r="R63" s="31"/>
      <c r="S63" s="31"/>
      <c r="T63" s="31"/>
      <c r="U63" s="31"/>
      <c r="V63" s="31"/>
      <c r="W63" s="31"/>
      <c r="X63" s="31"/>
      <c r="Y63" s="32"/>
    </row>
    <row r="64" spans="1:25" x14ac:dyDescent="0.3">
      <c r="A64" s="30"/>
      <c r="B64" s="31"/>
      <c r="C64" s="31"/>
      <c r="D64" s="31"/>
      <c r="E64" s="31"/>
      <c r="F64" s="31"/>
      <c r="G64" s="31"/>
      <c r="H64" s="31"/>
      <c r="I64" s="31"/>
      <c r="J64" s="31"/>
      <c r="K64" s="31"/>
      <c r="L64" s="31"/>
      <c r="M64" s="31"/>
      <c r="N64" s="31"/>
      <c r="O64" s="31"/>
      <c r="P64" s="31"/>
      <c r="Q64" s="31"/>
      <c r="R64" s="31"/>
      <c r="S64" s="31"/>
      <c r="T64" s="31"/>
      <c r="U64" s="31"/>
      <c r="V64" s="31"/>
      <c r="W64" s="31"/>
      <c r="X64" s="31"/>
      <c r="Y64" s="32"/>
    </row>
    <row r="65" spans="1:25" x14ac:dyDescent="0.3">
      <c r="A65" s="30"/>
      <c r="B65" s="31"/>
      <c r="C65" s="31"/>
      <c r="D65" s="31"/>
      <c r="E65" s="31"/>
      <c r="F65" s="31"/>
      <c r="G65" s="31"/>
      <c r="H65" s="31"/>
      <c r="I65" s="31"/>
      <c r="J65" s="31"/>
      <c r="K65" s="31"/>
      <c r="L65" s="31"/>
      <c r="M65" s="31"/>
      <c r="N65" s="31"/>
      <c r="O65" s="31"/>
      <c r="P65" s="31"/>
      <c r="Q65" s="31"/>
      <c r="R65" s="31"/>
      <c r="S65" s="31"/>
      <c r="T65" s="31"/>
      <c r="U65" s="31"/>
      <c r="V65" s="31"/>
      <c r="W65" s="31"/>
      <c r="X65" s="31"/>
      <c r="Y65" s="32"/>
    </row>
    <row r="66" spans="1:25" x14ac:dyDescent="0.3">
      <c r="A66" s="30"/>
      <c r="B66" s="31"/>
      <c r="C66" s="31"/>
      <c r="D66" s="31"/>
      <c r="E66" s="31"/>
      <c r="F66" s="31"/>
      <c r="G66" s="31"/>
      <c r="H66" s="31"/>
      <c r="I66" s="31"/>
      <c r="J66" s="31"/>
      <c r="K66" s="31"/>
      <c r="L66" s="31"/>
      <c r="M66" s="31"/>
      <c r="N66" s="31"/>
      <c r="O66" s="31"/>
      <c r="P66" s="31"/>
      <c r="Q66" s="31"/>
      <c r="R66" s="31"/>
      <c r="S66" s="31"/>
      <c r="T66" s="31"/>
      <c r="U66" s="31"/>
      <c r="V66" s="31"/>
      <c r="W66" s="31"/>
      <c r="X66" s="31"/>
      <c r="Y66" s="32"/>
    </row>
    <row r="67" spans="1:25" x14ac:dyDescent="0.3">
      <c r="A67" s="30"/>
      <c r="B67" s="31"/>
      <c r="C67" s="31"/>
      <c r="D67" s="31"/>
      <c r="E67" s="31"/>
      <c r="F67" s="31"/>
      <c r="G67" s="31"/>
      <c r="H67" s="31"/>
      <c r="I67" s="31"/>
      <c r="J67" s="31"/>
      <c r="K67" s="31"/>
      <c r="L67" s="31"/>
      <c r="M67" s="31"/>
      <c r="N67" s="31"/>
      <c r="O67" s="31"/>
      <c r="P67" s="31"/>
      <c r="Q67" s="31"/>
      <c r="R67" s="31"/>
      <c r="S67" s="31"/>
      <c r="T67" s="31"/>
      <c r="U67" s="31"/>
      <c r="V67" s="31"/>
      <c r="W67" s="31"/>
      <c r="X67" s="31"/>
      <c r="Y67" s="32"/>
    </row>
    <row r="68" spans="1:25" ht="15" thickBot="1" x14ac:dyDescent="0.35">
      <c r="A68" s="33"/>
      <c r="B68" s="34"/>
      <c r="C68" s="34"/>
      <c r="D68" s="34"/>
      <c r="E68" s="34"/>
      <c r="F68" s="34"/>
      <c r="G68" s="34"/>
      <c r="H68" s="34"/>
      <c r="I68" s="34"/>
      <c r="J68" s="34"/>
      <c r="K68" s="34"/>
      <c r="L68" s="34"/>
      <c r="M68" s="34"/>
      <c r="N68" s="34"/>
      <c r="O68" s="34"/>
      <c r="P68" s="34"/>
      <c r="Q68" s="34"/>
      <c r="R68" s="34"/>
      <c r="S68" s="34"/>
      <c r="T68" s="34"/>
      <c r="U68" s="34"/>
      <c r="V68" s="34"/>
      <c r="W68" s="34"/>
      <c r="X68" s="34"/>
      <c r="Y68" s="3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Data</vt:lpstr>
      <vt:lpstr>Data Analyse</vt:lpstr>
      <vt:lpstr>Data Visual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GOKUL SARAN</cp:lastModifiedBy>
  <dcterms:created xsi:type="dcterms:W3CDTF">2025-09-20T06:26:52Z</dcterms:created>
  <dcterms:modified xsi:type="dcterms:W3CDTF">2025-12-26T14:35:52Z</dcterms:modified>
</cp:coreProperties>
</file>